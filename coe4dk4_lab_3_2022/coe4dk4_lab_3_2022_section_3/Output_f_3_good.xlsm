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mg22\Downloads\coe4dk4_lab_3_2022\coe4dk4_lab_3_2022_section_3\"/>
    </mc:Choice>
  </mc:AlternateContent>
  <xr:revisionPtr revIDLastSave="0" documentId="8_{94179C15-3430-48BC-8A89-B86D96629D57}" xr6:coauthVersionLast="47" xr6:coauthVersionMax="47" xr10:uidLastSave="{00000000-0000-0000-0000-000000000000}"/>
  <bookViews>
    <workbookView xWindow="-110" yWindow="-110" windowWidth="38620" windowHeight="21100"/>
  </bookViews>
  <sheets>
    <sheet name="Output_f" sheetId="1" r:id="rId1"/>
  </sheets>
  <calcPr calcId="0"/>
</workbook>
</file>

<file path=xl/calcChain.xml><?xml version="1.0" encoding="utf-8"?>
<calcChain xmlns="http://schemas.openxmlformats.org/spreadsheetml/2006/main">
  <c r="G20" i="1" l="1"/>
  <c r="G25" i="1"/>
  <c r="G36" i="1"/>
  <c r="E3" i="1"/>
  <c r="E4" i="1"/>
  <c r="G4" i="1" s="1"/>
  <c r="E5" i="1"/>
  <c r="G5" i="1" s="1"/>
  <c r="E6" i="1"/>
  <c r="G6" i="1" s="1"/>
  <c r="E7" i="1"/>
  <c r="G7" i="1" s="1"/>
  <c r="E8" i="1"/>
  <c r="G8" i="1" s="1"/>
  <c r="E9" i="1"/>
  <c r="E10" i="1"/>
  <c r="G10" i="1" s="1"/>
  <c r="E11" i="1"/>
  <c r="G11" i="1" s="1"/>
  <c r="E12" i="1"/>
  <c r="G12" i="1" s="1"/>
  <c r="E13" i="1"/>
  <c r="G13" i="1" s="1"/>
  <c r="E14" i="1"/>
  <c r="G14" i="1" s="1"/>
  <c r="E15" i="1"/>
  <c r="G15" i="1" s="1"/>
  <c r="E16" i="1"/>
  <c r="G16" i="1" s="1"/>
  <c r="E17" i="1"/>
  <c r="G17" i="1" s="1"/>
  <c r="E18" i="1"/>
  <c r="E19" i="1"/>
  <c r="E20" i="1"/>
  <c r="E21" i="1"/>
  <c r="G21" i="1" s="1"/>
  <c r="E22" i="1"/>
  <c r="G22" i="1" s="1"/>
  <c r="E23" i="1"/>
  <c r="G23" i="1" s="1"/>
  <c r="E24" i="1"/>
  <c r="E25" i="1"/>
  <c r="E26" i="1"/>
  <c r="G26" i="1" s="1"/>
  <c r="E27" i="1"/>
  <c r="G27" i="1" s="1"/>
  <c r="E28" i="1"/>
  <c r="E29" i="1"/>
  <c r="G29" i="1" s="1"/>
  <c r="E30" i="1"/>
  <c r="G30" i="1" s="1"/>
  <c r="E31" i="1"/>
  <c r="G31" i="1" s="1"/>
  <c r="E32" i="1"/>
  <c r="G32" i="1" s="1"/>
  <c r="E33" i="1"/>
  <c r="G33" i="1" s="1"/>
  <c r="E34" i="1"/>
  <c r="E35" i="1"/>
  <c r="E36" i="1"/>
  <c r="E37" i="1"/>
  <c r="G37" i="1" s="1"/>
  <c r="E38" i="1"/>
  <c r="G38" i="1" s="1"/>
  <c r="E39" i="1"/>
  <c r="G39" i="1" s="1"/>
  <c r="E40" i="1"/>
  <c r="E41" i="1"/>
  <c r="G41" i="1" s="1"/>
  <c r="E42" i="1"/>
  <c r="G42" i="1" s="1"/>
  <c r="E2" i="1"/>
  <c r="H4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2" i="1"/>
  <c r="G9" i="1" l="1"/>
  <c r="G19" i="1"/>
  <c r="G3" i="1"/>
  <c r="G34" i="1"/>
  <c r="G18" i="1"/>
  <c r="G35" i="1"/>
  <c r="G28" i="1"/>
  <c r="G40" i="1"/>
  <c r="G24" i="1"/>
</calcChain>
</file>

<file path=xl/sharedStrings.xml><?xml version="1.0" encoding="utf-8"?>
<sst xmlns="http://schemas.openxmlformats.org/spreadsheetml/2006/main" count="6" uniqueCount="6">
  <si>
    <t>trunks</t>
  </si>
  <si>
    <t>load</t>
  </si>
  <si>
    <t>pb0.1</t>
  </si>
  <si>
    <t>Marginal increase in Load</t>
  </si>
  <si>
    <t>Util</t>
  </si>
  <si>
    <t>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</si>
</sst>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Offered Load vs. Trunks (Pb=1%)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Output_f!$B$1</c:f>
              <c:strCache>
                <c:ptCount val="1"/>
                <c:pt idx="0">
                  <c:v>load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Output_f!$A$2:$A$42</c:f>
              <c:numCache>
                <c:formatCode>General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</c:numCache>
            </c:numRef>
          </c:cat>
          <c:val>
            <c:numRef>
              <c:f>Output_f!$B$2:$B$42</c:f>
              <c:numCache>
                <c:formatCode>General</c:formatCode>
                <c:ptCount val="41"/>
                <c:pt idx="0">
                  <c:v>1.029978299783E-2</c:v>
                </c:pt>
                <c:pt idx="1">
                  <c:v>0.15279645796458</c:v>
                </c:pt>
                <c:pt idx="2">
                  <c:v>0.45548939489394902</c:v>
                </c:pt>
                <c:pt idx="3">
                  <c:v>0.86947973479735197</c:v>
                </c:pt>
                <c:pt idx="4">
                  <c:v>1.3608682686825899</c:v>
                </c:pt>
                <c:pt idx="5">
                  <c:v>1.9092554725547599</c:v>
                </c:pt>
                <c:pt idx="6">
                  <c:v>2.5011416614168702</c:v>
                </c:pt>
                <c:pt idx="7">
                  <c:v>3.1278270382708602</c:v>
                </c:pt>
                <c:pt idx="8">
                  <c:v>3.7827117571183</c:v>
                </c:pt>
                <c:pt idx="9">
                  <c:v>4.4612959229601996</c:v>
                </c:pt>
                <c:pt idx="10">
                  <c:v>5.1599796197974301</c:v>
                </c:pt>
                <c:pt idx="11">
                  <c:v>5.8760629106306004</c:v>
                </c:pt>
                <c:pt idx="12">
                  <c:v>6.6074458444588604</c:v>
                </c:pt>
                <c:pt idx="13">
                  <c:v>7.3517284772838103</c:v>
                </c:pt>
                <c:pt idx="14">
                  <c:v>8.1083108231058691</c:v>
                </c:pt>
                <c:pt idx="15">
                  <c:v>8.8750929309255202</c:v>
                </c:pt>
                <c:pt idx="16">
                  <c:v>9.6517748077428607</c:v>
                </c:pt>
                <c:pt idx="17">
                  <c:v>10.4371564815581</c:v>
                </c:pt>
                <c:pt idx="18">
                  <c:v>11.230337973371499</c:v>
                </c:pt>
                <c:pt idx="19">
                  <c:v>12.0307192971833</c:v>
                </c:pt>
                <c:pt idx="20">
                  <c:v>12.838000459993401</c:v>
                </c:pt>
                <c:pt idx="21">
                  <c:v>13.651281482802201</c:v>
                </c:pt>
                <c:pt idx="22">
                  <c:v>14.470562365609499</c:v>
                </c:pt>
                <c:pt idx="23">
                  <c:v>15.295243122415499</c:v>
                </c:pt>
                <c:pt idx="24">
                  <c:v>16.124723767220399</c:v>
                </c:pt>
                <c:pt idx="25">
                  <c:v>16.959004300024201</c:v>
                </c:pt>
                <c:pt idx="26">
                  <c:v>17.797484734827002</c:v>
                </c:pt>
                <c:pt idx="27">
                  <c:v>18.6404650646287</c:v>
                </c:pt>
                <c:pt idx="28">
                  <c:v>19.4870453104296</c:v>
                </c:pt>
                <c:pt idx="29">
                  <c:v>20.3375254652296</c:v>
                </c:pt>
                <c:pt idx="30">
                  <c:v>21.1913055430288</c:v>
                </c:pt>
                <c:pt idx="31">
                  <c:v>22.048385543827202</c:v>
                </c:pt>
                <c:pt idx="32">
                  <c:v>22.9087654676249</c:v>
                </c:pt>
                <c:pt idx="33">
                  <c:v>23.772145321421799</c:v>
                </c:pt>
                <c:pt idx="34">
                  <c:v>24.638225112218102</c:v>
                </c:pt>
                <c:pt idx="35">
                  <c:v>25.507304833013698</c:v>
                </c:pt>
                <c:pt idx="36">
                  <c:v>26.378784497808699</c:v>
                </c:pt>
                <c:pt idx="37">
                  <c:v>27.252664106603198</c:v>
                </c:pt>
                <c:pt idx="38">
                  <c:v>28.128943659397098</c:v>
                </c:pt>
                <c:pt idx="39">
                  <c:v>29.007623156190501</c:v>
                </c:pt>
                <c:pt idx="40">
                  <c:v>29.888402603983302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6C-4840-8777-3E9139BD4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86575"/>
        <c:axId val="18778671"/>
      </c:lineChart>
      <c:catAx>
        <c:axId val="187865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Trunks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8671"/>
        <c:crosses val="autoZero"/>
        <c:auto val="1"/>
        <c:lblAlgn val="ctr"/>
        <c:lblOffset val="100"/>
        <c:noMultiLvlLbl val="0"/>
      </c:catAx>
      <c:valAx>
        <c:axId val="1877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Erlangs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86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Marginal Percentage Increase in Offered Load (Pb=1%)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Output_f!$A$1:$A$50</c15:sqref>
                  </c15:fullRef>
                </c:ext>
              </c:extLst>
              <c:f>Output_f!$A$3:$A$42</c:f>
              <c:strCache>
                <c:ptCount val="4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Output_f!$D$1:$D$51</c15:sqref>
                  </c15:fullRef>
                </c:ext>
              </c:extLst>
              <c:f>(Output_f!$D$3:$D$42,Output_f!$D$51)</c:f>
              <c:numCache>
                <c:formatCode>General</c:formatCode>
                <c:ptCount val="41"/>
                <c:pt idx="0">
                  <c:v>13.834920114022964</c:v>
                </c:pt>
                <c:pt idx="1">
                  <c:v>1.981020639886409</c:v>
                </c:pt>
                <c:pt idx="2">
                  <c:v>0.90889128165056787</c:v>
                </c:pt>
                <c:pt idx="3">
                  <c:v>0.56515237126229856</c:v>
                </c:pt>
                <c:pt idx="4">
                  <c:v>0.40296861679569096</c:v>
                </c:pt>
                <c:pt idx="5">
                  <c:v>0.31000889999812964</c:v>
                </c:pt>
                <c:pt idx="6">
                  <c:v>0.25055972899151158</c:v>
                </c:pt>
                <c:pt idx="7">
                  <c:v>0.20937369964340363</c:v>
                </c:pt>
                <c:pt idx="8">
                  <c:v>0.17939092624885869</c:v>
                </c:pt>
                <c:pt idx="9">
                  <c:v>0.15661003190607306</c:v>
                </c:pt>
                <c:pt idx="10">
                  <c:v>0.13877637967517439</c:v>
                </c:pt>
                <c:pt idx="11">
                  <c:v>0.12446819323616982</c:v>
                </c:pt>
                <c:pt idx="12">
                  <c:v>0.11264301673378384</c:v>
                </c:pt>
                <c:pt idx="13">
                  <c:v>0.10291217203679805</c:v>
                </c:pt>
                <c:pt idx="14">
                  <c:v>9.4567428968631601E-2</c:v>
                </c:pt>
                <c:pt idx="15">
                  <c:v>8.751253455735318E-2</c:v>
                </c:pt>
                <c:pt idx="16">
                  <c:v>8.1371736230852518E-2</c:v>
                </c:pt>
                <c:pt idx="17">
                  <c:v>7.5995937515635506E-2</c:v>
                </c:pt>
                <c:pt idx="18">
                  <c:v>7.126956692751385E-2</c:v>
                </c:pt>
                <c:pt idx="19">
                  <c:v>6.7101653930127542E-2</c:v>
                </c:pt>
                <c:pt idx="20">
                  <c:v>6.3349508776167948E-2</c:v>
                </c:pt>
                <c:pt idx="21">
                  <c:v>6.0014943200711476E-2</c:v>
                </c:pt>
                <c:pt idx="22">
                  <c:v>5.6990235484276869E-2</c:v>
                </c:pt>
                <c:pt idx="23">
                  <c:v>5.4231282116024571E-2</c:v>
                </c:pt>
                <c:pt idx="24">
                  <c:v>5.1739213945468841E-2</c:v>
                </c:pt>
                <c:pt idx="25">
                  <c:v>4.9441607535980397E-2</c:v>
                </c:pt>
                <c:pt idx="26">
                  <c:v>4.7365138521631205E-2</c:v>
                </c:pt>
                <c:pt idx="27">
                  <c:v>4.5416262033468956E-2</c:v>
                </c:pt>
                <c:pt idx="28">
                  <c:v>4.3643361076643919E-2</c:v>
                </c:pt>
                <c:pt idx="29">
                  <c:v>4.1980529010713724E-2</c:v>
                </c:pt>
                <c:pt idx="30">
                  <c:v>4.0444889016304643E-2</c:v>
                </c:pt>
                <c:pt idx="31">
                  <c:v>3.9022354815388058E-2</c:v>
                </c:pt>
                <c:pt idx="32">
                  <c:v>3.7687751224178563E-2</c:v>
                </c:pt>
                <c:pt idx="33">
                  <c:v>3.6432546540755478E-2</c:v>
                </c:pt>
                <c:pt idx="34">
                  <c:v>3.5273633422750889E-2</c:v>
                </c:pt>
                <c:pt idx="35">
                  <c:v>3.4165885831538657E-2</c:v>
                </c:pt>
                <c:pt idx="36">
                  <c:v>3.3128122672486805E-2</c:v>
                </c:pt>
                <c:pt idx="37">
                  <c:v>3.2153904270283112E-2</c:v>
                </c:pt>
                <c:pt idx="38">
                  <c:v>3.1237557564656734E-2</c:v>
                </c:pt>
                <c:pt idx="39">
                  <c:v>3.0363723461597505E-2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7-4835-98FA-9447A7992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50735"/>
        <c:axId val="119235759"/>
      </c:lineChart>
      <c:catAx>
        <c:axId val="119250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Trunks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35759"/>
        <c:crosses val="autoZero"/>
        <c:auto val="1"/>
        <c:lblAlgn val="ctr"/>
        <c:lblOffset val="100"/>
        <c:noMultiLvlLbl val="0"/>
      </c:catAx>
      <c:valAx>
        <c:axId val="11923575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Percentage Increase in Erlangs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50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Server 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Output_f!$A$2:$A$42</c:f>
              <c:numCache>
                <c:formatCode>General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</c:numCache>
            </c:numRef>
          </c:cat>
          <c:val>
            <c:numRef>
              <c:f>Output_f!$E$2:$E$42</c:f>
              <c:numCache>
                <c:formatCode>General</c:formatCode>
                <c:ptCount val="41"/>
                <c:pt idx="0">
                  <c:v>1.0194778986557615E-2</c:v>
                </c:pt>
                <c:pt idx="1">
                  <c:v>7.5632365035335963E-2</c:v>
                </c:pt>
                <c:pt idx="2">
                  <c:v>0.15031146552872512</c:v>
                </c:pt>
                <c:pt idx="3">
                  <c:v>0.21519575603524074</c:v>
                </c:pt>
                <c:pt idx="4">
                  <c:v>0.26945132191715238</c:v>
                </c:pt>
                <c:pt idx="5">
                  <c:v>0.31502560151260356</c:v>
                </c:pt>
                <c:pt idx="6">
                  <c:v>0.35373158643662617</c:v>
                </c:pt>
                <c:pt idx="7">
                  <c:v>0.38706697284567132</c:v>
                </c:pt>
                <c:pt idx="8">
                  <c:v>0.41609727421973641</c:v>
                </c:pt>
                <c:pt idx="9">
                  <c:v>0.4416676315274623</c:v>
                </c:pt>
                <c:pt idx="10">
                  <c:v>0.46439783964016867</c:v>
                </c:pt>
                <c:pt idx="11">
                  <c:v>0.48477479700445669</c:v>
                </c:pt>
                <c:pt idx="12">
                  <c:v>0.50318104737301961</c:v>
                </c:pt>
                <c:pt idx="13">
                  <c:v>0.51987199809105655</c:v>
                </c:pt>
                <c:pt idx="14">
                  <c:v>0.53514726821293179</c:v>
                </c:pt>
                <c:pt idx="15">
                  <c:v>0.5491460865217026</c:v>
                </c:pt>
                <c:pt idx="16">
                  <c:v>0.56207319097412234</c:v>
                </c:pt>
                <c:pt idx="17">
                  <c:v>0.57404243311649394</c:v>
                </c:pt>
                <c:pt idx="18">
                  <c:v>0.58515874675591473</c:v>
                </c:pt>
                <c:pt idx="19">
                  <c:v>0.59552018169172904</c:v>
                </c:pt>
                <c:pt idx="20">
                  <c:v>0.60521937381006063</c:v>
                </c:pt>
                <c:pt idx="21">
                  <c:v>0.61430760046673016</c:v>
                </c:pt>
                <c:pt idx="22">
                  <c:v>0.6228629181015185</c:v>
                </c:pt>
                <c:pt idx="23">
                  <c:v>0.63092788206233064</c:v>
                </c:pt>
                <c:pt idx="24">
                  <c:v>0.63853845264715725</c:v>
                </c:pt>
                <c:pt idx="25">
                  <c:v>0.64574597231379316</c:v>
                </c:pt>
                <c:pt idx="26">
                  <c:v>0.65257428930771055</c:v>
                </c:pt>
                <c:pt idx="27">
                  <c:v>0.65907276514419244</c:v>
                </c:pt>
                <c:pt idx="28">
                  <c:v>0.66524695877900097</c:v>
                </c:pt>
                <c:pt idx="29">
                  <c:v>0.67113755188813462</c:v>
                </c:pt>
                <c:pt idx="30">
                  <c:v>0.67675409980353274</c:v>
                </c:pt>
                <c:pt idx="31">
                  <c:v>0.68212174769276956</c:v>
                </c:pt>
                <c:pt idx="32">
                  <c:v>0.68726260478186807</c:v>
                </c:pt>
                <c:pt idx="33">
                  <c:v>0.69218837908114106</c:v>
                </c:pt>
                <c:pt idx="34">
                  <c:v>0.69690950046687294</c:v>
                </c:pt>
                <c:pt idx="35">
                  <c:v>0.70145000395718315</c:v>
                </c:pt>
                <c:pt idx="36">
                  <c:v>0.70580985664889473</c:v>
                </c:pt>
                <c:pt idx="37">
                  <c:v>0.71000301384374409</c:v>
                </c:pt>
                <c:pt idx="38">
                  <c:v>0.71404200544145213</c:v>
                </c:pt>
                <c:pt idx="39">
                  <c:v>0.71793811410344621</c:v>
                </c:pt>
                <c:pt idx="40">
                  <c:v>0.72169511848142287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1-427F-9F9D-BDA1CEEBA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1762767"/>
        <c:axId val="341750287"/>
      </c:lineChart>
      <c:catAx>
        <c:axId val="341762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Trunks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50287"/>
        <c:crosses val="autoZero"/>
        <c:auto val="1"/>
        <c:lblAlgn val="ctr"/>
        <c:lblOffset val="100"/>
        <c:noMultiLvlLbl val="0"/>
      </c:catAx>
      <c:valAx>
        <c:axId val="341750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Erlang/Trunk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62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Output_f!$A$3:$A$42</c:f>
              <c:numCache>
                <c:formatCode>General</c:formatCode>
                <c:ptCount val="4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</c:numCache>
            </c:numRef>
          </c:xVal>
          <c:yVal>
            <c:numRef>
              <c:f>Output_f!$G$3:$G$42</c:f>
              <c:numCache>
                <c:formatCode>General</c:formatCode>
                <c:ptCount val="40"/>
                <c:pt idx="0">
                  <c:v>6.5437586048778348E-2</c:v>
                </c:pt>
                <c:pt idx="1">
                  <c:v>7.4679100493389161E-2</c:v>
                </c:pt>
                <c:pt idx="2">
                  <c:v>6.4884290506515618E-2</c:v>
                </c:pt>
                <c:pt idx="3">
                  <c:v>5.4255565881911633E-2</c:v>
                </c:pt>
                <c:pt idx="4">
                  <c:v>4.5574279595451184E-2</c:v>
                </c:pt>
                <c:pt idx="5">
                  <c:v>3.8705984924022607E-2</c:v>
                </c:pt>
                <c:pt idx="6">
                  <c:v>3.3335386409045153E-2</c:v>
                </c:pt>
                <c:pt idx="7">
                  <c:v>2.9030301374065093E-2</c:v>
                </c:pt>
                <c:pt idx="8">
                  <c:v>2.5570357307725888E-2</c:v>
                </c:pt>
                <c:pt idx="9">
                  <c:v>2.2730208112706374E-2</c:v>
                </c:pt>
                <c:pt idx="10">
                  <c:v>2.0376957364288018E-2</c:v>
                </c:pt>
                <c:pt idx="11">
                  <c:v>1.8406250368562915E-2</c:v>
                </c:pt>
                <c:pt idx="12">
                  <c:v>1.6690950718036945E-2</c:v>
                </c:pt>
                <c:pt idx="13">
                  <c:v>1.527527012187524E-2</c:v>
                </c:pt>
                <c:pt idx="14">
                  <c:v>1.3998818308770811E-2</c:v>
                </c:pt>
                <c:pt idx="15">
                  <c:v>1.2927104452419735E-2</c:v>
                </c:pt>
                <c:pt idx="16">
                  <c:v>1.1969242142371606E-2</c:v>
                </c:pt>
                <c:pt idx="17">
                  <c:v>1.1116313639420783E-2</c:v>
                </c:pt>
                <c:pt idx="18">
                  <c:v>1.0361434935814318E-2</c:v>
                </c:pt>
                <c:pt idx="19">
                  <c:v>9.6991921183315899E-3</c:v>
                </c:pt>
                <c:pt idx="20">
                  <c:v>9.0882266566695291E-3</c:v>
                </c:pt>
                <c:pt idx="21">
                  <c:v>8.5553176347883397E-3</c:v>
                </c:pt>
                <c:pt idx="22">
                  <c:v>8.0649639608121326E-3</c:v>
                </c:pt>
                <c:pt idx="23">
                  <c:v>7.6105705848266147E-3</c:v>
                </c:pt>
                <c:pt idx="24">
                  <c:v>7.2075196666359087E-3</c:v>
                </c:pt>
                <c:pt idx="25">
                  <c:v>6.8283169939173938E-3</c:v>
                </c:pt>
                <c:pt idx="26">
                  <c:v>6.4984758364818873E-3</c:v>
                </c:pt>
                <c:pt idx="27">
                  <c:v>6.1741936348085336E-3</c:v>
                </c:pt>
                <c:pt idx="28">
                  <c:v>5.8905931091336461E-3</c:v>
                </c:pt>
                <c:pt idx="29">
                  <c:v>5.6165479153981179E-3</c:v>
                </c:pt>
                <c:pt idx="30">
                  <c:v>5.3676478892368262E-3</c:v>
                </c:pt>
                <c:pt idx="31">
                  <c:v>5.140857089098505E-3</c:v>
                </c:pt>
                <c:pt idx="32">
                  <c:v>4.9257742992729892E-3</c:v>
                </c:pt>
                <c:pt idx="33">
                  <c:v>4.7211213857318857E-3</c:v>
                </c:pt>
                <c:pt idx="34">
                  <c:v>4.5405034903102104E-3</c:v>
                </c:pt>
                <c:pt idx="35">
                  <c:v>4.3598526917115743E-3</c:v>
                </c:pt>
                <c:pt idx="36">
                  <c:v>4.1931571948493618E-3</c:v>
                </c:pt>
                <c:pt idx="37">
                  <c:v>4.0389915977080415E-3</c:v>
                </c:pt>
                <c:pt idx="38">
                  <c:v>3.8961086619940799E-3</c:v>
                </c:pt>
                <c:pt idx="39">
                  <c:v>3.7570043779766582E-3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45-44AE-AEA1-5C08033A4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18319"/>
        <c:axId val="142318735"/>
      </c:scatterChart>
      <c:valAx>
        <c:axId val="142318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318735"/>
        <c:crosses val="autoZero"/>
        <c:crossBetween val="midCat"/>
      </c:valAx>
      <c:valAx>
        <c:axId val="142318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318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606425</xdr:colOff>
      <xdr:row>6</xdr:row>
      <xdr:rowOff>69850</xdr:rowOff>
    </xdr:from>
    <xdr:to>
      <xdr:col>33</xdr:col>
      <xdr:colOff>527050</xdr:colOff>
      <xdr:row>37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6C7110-D54B-00FA-C0CA-419B2D0E1C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66674</xdr:colOff>
      <xdr:row>3</xdr:row>
      <xdr:rowOff>171450</xdr:rowOff>
    </xdr:from>
    <xdr:to>
      <xdr:col>35</xdr:col>
      <xdr:colOff>488950</xdr:colOff>
      <xdr:row>28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1F5AA7-E4E5-69CD-555E-8A0B3B07D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603250</xdr:colOff>
      <xdr:row>21</xdr:row>
      <xdr:rowOff>6350</xdr:rowOff>
    </xdr:from>
    <xdr:to>
      <xdr:col>32</xdr:col>
      <xdr:colOff>222250</xdr:colOff>
      <xdr:row>47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5BDC1EE-B18A-33C3-051E-BFF7517D3A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523874</xdr:colOff>
      <xdr:row>31</xdr:row>
      <xdr:rowOff>63500</xdr:rowOff>
    </xdr:from>
    <xdr:to>
      <xdr:col>37</xdr:col>
      <xdr:colOff>50799</xdr:colOff>
      <xdr:row>59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1E782F0-B295-FE0D-0A79-3BD542BCAC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1"/>
  <sheetViews>
    <sheetView tabSelected="1" workbookViewId="0">
      <selection sqref="A1:E42"/>
    </sheetView>
  </sheetViews>
  <sheetFormatPr defaultRowHeight="14.5" x14ac:dyDescent="0.35"/>
  <cols>
    <col min="4" max="4" width="24.81640625" customWidth="1"/>
  </cols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5</v>
      </c>
      <c r="H1" t="s">
        <v>4</v>
      </c>
    </row>
    <row r="2" spans="1:8" x14ac:dyDescent="0.35">
      <c r="A2">
        <v>1</v>
      </c>
      <c r="B2">
        <v>1.029978299783E-2</v>
      </c>
      <c r="C2">
        <v>1.0194778986558E-2</v>
      </c>
      <c r="E2">
        <f>((1-C2)*B2)/A2</f>
        <v>1.0194778986557615E-2</v>
      </c>
      <c r="H2">
        <f>B2/A2</f>
        <v>1.029978299783E-2</v>
      </c>
    </row>
    <row r="3" spans="1:8" x14ac:dyDescent="0.35">
      <c r="A3">
        <v>2</v>
      </c>
      <c r="B3">
        <v>0.15279645796458</v>
      </c>
      <c r="C3">
        <v>1.0024629590975999E-2</v>
      </c>
      <c r="D3">
        <v>13.834920114022964</v>
      </c>
      <c r="E3">
        <f>((1-C3)*B3)/A3</f>
        <v>7.5632365035335963E-2</v>
      </c>
      <c r="G3">
        <f>E3-E2</f>
        <v>6.5437586048778348E-2</v>
      </c>
      <c r="H3">
        <f>B3/A3</f>
        <v>7.6398228982289998E-2</v>
      </c>
    </row>
    <row r="4" spans="1:8" x14ac:dyDescent="0.35">
      <c r="A4">
        <v>3</v>
      </c>
      <c r="B4">
        <v>0.45548939489394902</v>
      </c>
      <c r="C4">
        <v>1.0000229113642E-2</v>
      </c>
      <c r="D4">
        <v>1.981020639886409</v>
      </c>
      <c r="E4">
        <f>((1-C4)*B4)/A4</f>
        <v>0.15031146552872512</v>
      </c>
      <c r="G4">
        <f>E4-E3</f>
        <v>7.4679100493389161E-2</v>
      </c>
      <c r="H4">
        <f>B4/A4</f>
        <v>0.15182979829798302</v>
      </c>
    </row>
    <row r="5" spans="1:8" x14ac:dyDescent="0.35">
      <c r="A5">
        <v>4</v>
      </c>
      <c r="B5">
        <v>0.86947973479735197</v>
      </c>
      <c r="C5">
        <v>1.0002200520999999E-2</v>
      </c>
      <c r="D5">
        <v>0.90889128165056787</v>
      </c>
      <c r="E5">
        <f>((1-C5)*B5)/A5</f>
        <v>0.21519575603524074</v>
      </c>
      <c r="G5">
        <f>E5-E4</f>
        <v>6.4884290506515618E-2</v>
      </c>
      <c r="H5">
        <f>B5/A5</f>
        <v>0.21736993369933799</v>
      </c>
    </row>
    <row r="6" spans="1:8" x14ac:dyDescent="0.35">
      <c r="A6">
        <v>5</v>
      </c>
      <c r="B6">
        <v>1.3608682686825899</v>
      </c>
      <c r="C6">
        <v>1.0002187140424E-2</v>
      </c>
      <c r="D6">
        <v>0.56515237126229856</v>
      </c>
      <c r="E6">
        <f>((1-C6)*B6)/A6</f>
        <v>0.26945132191715238</v>
      </c>
      <c r="G6">
        <f>E6-E5</f>
        <v>5.4255565881911633E-2</v>
      </c>
      <c r="H6">
        <f>B6/A6</f>
        <v>0.27217365373651797</v>
      </c>
    </row>
    <row r="7" spans="1:8" x14ac:dyDescent="0.35">
      <c r="A7">
        <v>6</v>
      </c>
      <c r="B7">
        <v>1.9092554725547599</v>
      </c>
      <c r="C7">
        <v>1.000487559351E-2</v>
      </c>
      <c r="D7">
        <v>0.40296861679569096</v>
      </c>
      <c r="E7">
        <f>((1-C7)*B7)/A7</f>
        <v>0.31502560151260356</v>
      </c>
      <c r="G7">
        <f>E7-E6</f>
        <v>4.5574279595451184E-2</v>
      </c>
      <c r="H7">
        <f>B7/A7</f>
        <v>0.31820924542579332</v>
      </c>
    </row>
    <row r="8" spans="1:8" x14ac:dyDescent="0.35">
      <c r="A8">
        <v>7</v>
      </c>
      <c r="B8">
        <v>2.5011416614168702</v>
      </c>
      <c r="C8">
        <v>1.0003654229770001E-2</v>
      </c>
      <c r="D8">
        <v>0.31000889999812964</v>
      </c>
      <c r="E8">
        <f>((1-C8)*B8)/A8</f>
        <v>0.35373158643662617</v>
      </c>
      <c r="G8">
        <f>E8-E7</f>
        <v>3.8705984924022607E-2</v>
      </c>
      <c r="H8">
        <f>B8/A8</f>
        <v>0.35730595163098144</v>
      </c>
    </row>
    <row r="9" spans="1:8" x14ac:dyDescent="0.35">
      <c r="A9">
        <v>8</v>
      </c>
      <c r="B9">
        <v>3.1278270382708602</v>
      </c>
      <c r="C9">
        <v>1.0004151483641E-2</v>
      </c>
      <c r="D9">
        <v>0.25055972899151158</v>
      </c>
      <c r="E9">
        <f>((1-C9)*B9)/A9</f>
        <v>0.38706697284567132</v>
      </c>
      <c r="G9">
        <f>E9-E8</f>
        <v>3.3335386409045153E-2</v>
      </c>
      <c r="H9">
        <f>B9/A9</f>
        <v>0.39097837978385752</v>
      </c>
    </row>
    <row r="10" spans="1:8" x14ac:dyDescent="0.35">
      <c r="A10">
        <v>9</v>
      </c>
      <c r="B10">
        <v>3.7827117571183</v>
      </c>
      <c r="C10">
        <v>1.0002424601735E-2</v>
      </c>
      <c r="D10">
        <v>0.20937369964340363</v>
      </c>
      <c r="E10">
        <f>((1-C10)*B10)/A10</f>
        <v>0.41609727421973641</v>
      </c>
      <c r="G10">
        <f>E10-E9</f>
        <v>2.9030301374065093E-2</v>
      </c>
      <c r="H10">
        <f>B10/A10</f>
        <v>0.42030130634647778</v>
      </c>
    </row>
    <row r="11" spans="1:8" x14ac:dyDescent="0.35">
      <c r="A11">
        <v>10</v>
      </c>
      <c r="B11">
        <v>4.4612959229601996</v>
      </c>
      <c r="C11">
        <v>1.0001490252179999E-2</v>
      </c>
      <c r="D11">
        <v>0.17939092624885869</v>
      </c>
      <c r="E11">
        <f>((1-C11)*B11)/A11</f>
        <v>0.4416676315274623</v>
      </c>
      <c r="G11">
        <f>E11-E10</f>
        <v>2.5570357307725888E-2</v>
      </c>
      <c r="H11">
        <f>B11/A11</f>
        <v>0.44612959229601995</v>
      </c>
    </row>
    <row r="12" spans="1:8" x14ac:dyDescent="0.35">
      <c r="A12">
        <v>11</v>
      </c>
      <c r="B12">
        <v>5.1599796197974301</v>
      </c>
      <c r="C12">
        <v>1.0000695265846999E-2</v>
      </c>
      <c r="D12">
        <v>0.15661003190607306</v>
      </c>
      <c r="E12">
        <f>((1-C12)*B12)/A12</f>
        <v>0.46439783964016867</v>
      </c>
      <c r="G12">
        <f>E12-E11</f>
        <v>2.2730208112706374E-2</v>
      </c>
      <c r="H12">
        <f>B12/A12</f>
        <v>0.46908905634522091</v>
      </c>
    </row>
    <row r="13" spans="1:8" x14ac:dyDescent="0.35">
      <c r="A13">
        <v>12</v>
      </c>
      <c r="B13">
        <v>5.8760629106306004</v>
      </c>
      <c r="C13">
        <v>1.0000802828507E-2</v>
      </c>
      <c r="D13">
        <v>0.13877637967517439</v>
      </c>
      <c r="E13">
        <f>((1-C13)*B13)/A13</f>
        <v>0.48477479700445669</v>
      </c>
      <c r="G13">
        <f>E13-E12</f>
        <v>2.0376957364288018E-2</v>
      </c>
      <c r="H13">
        <f>B13/A13</f>
        <v>0.48967190921921672</v>
      </c>
    </row>
    <row r="14" spans="1:8" x14ac:dyDescent="0.35">
      <c r="A14">
        <v>13</v>
      </c>
      <c r="B14">
        <v>6.6074458444588604</v>
      </c>
      <c r="C14">
        <v>1.0002689415159E-2</v>
      </c>
      <c r="D14">
        <v>0.12446819323616982</v>
      </c>
      <c r="E14">
        <f>((1-C14)*B14)/A14</f>
        <v>0.50318104737301961</v>
      </c>
      <c r="G14">
        <f>E14-E13</f>
        <v>1.8406250368562915E-2</v>
      </c>
      <c r="H14">
        <f>B14/A14</f>
        <v>0.50826506495837387</v>
      </c>
    </row>
    <row r="15" spans="1:8" x14ac:dyDescent="0.35">
      <c r="A15">
        <v>14</v>
      </c>
      <c r="B15">
        <v>7.3517284772838103</v>
      </c>
      <c r="C15">
        <v>1.000043788834E-2</v>
      </c>
      <c r="D15">
        <v>0.11264301673378384</v>
      </c>
      <c r="E15">
        <f>((1-C15)*B15)/A15</f>
        <v>0.51987199809105655</v>
      </c>
      <c r="G15">
        <f>E15-E14</f>
        <v>1.6690950718036945E-2</v>
      </c>
      <c r="H15">
        <f>B15/A15</f>
        <v>0.52512346266312926</v>
      </c>
    </row>
    <row r="16" spans="1:8" x14ac:dyDescent="0.35">
      <c r="A16">
        <v>15</v>
      </c>
      <c r="B16">
        <v>8.1083108231058691</v>
      </c>
      <c r="C16">
        <v>1.0002305249667999E-2</v>
      </c>
      <c r="D16">
        <v>0.10291217203679805</v>
      </c>
      <c r="E16">
        <f>((1-C16)*B16)/A16</f>
        <v>0.53514726821293179</v>
      </c>
      <c r="G16">
        <f>E16-E15</f>
        <v>1.527527012187524E-2</v>
      </c>
      <c r="H16">
        <f>B16/A16</f>
        <v>0.54055405487372465</v>
      </c>
    </row>
    <row r="17" spans="1:8" x14ac:dyDescent="0.35">
      <c r="A17">
        <v>16</v>
      </c>
      <c r="B17">
        <v>8.8750929309255202</v>
      </c>
      <c r="C17">
        <v>1.0000520250217E-2</v>
      </c>
      <c r="D17">
        <v>9.4567428968631601E-2</v>
      </c>
      <c r="E17">
        <f>((1-C17)*B17)/A17</f>
        <v>0.5491460865217026</v>
      </c>
      <c r="G17">
        <f>E17-E16</f>
        <v>1.3998818308770811E-2</v>
      </c>
      <c r="H17">
        <f>B17/A17</f>
        <v>0.55469330818284501</v>
      </c>
    </row>
    <row r="18" spans="1:8" x14ac:dyDescent="0.35">
      <c r="A18">
        <v>17</v>
      </c>
      <c r="B18">
        <v>9.6517748077428607</v>
      </c>
      <c r="C18">
        <v>1.0001327538780001E-2</v>
      </c>
      <c r="D18">
        <v>8.751253455735318E-2</v>
      </c>
      <c r="E18">
        <f>((1-C18)*B18)/A18</f>
        <v>0.56207319097412234</v>
      </c>
      <c r="G18">
        <f>E18-E17</f>
        <v>1.2927104452419735E-2</v>
      </c>
      <c r="H18">
        <f>B18/A18</f>
        <v>0.56775145927899184</v>
      </c>
    </row>
    <row r="19" spans="1:8" x14ac:dyDescent="0.35">
      <c r="A19">
        <v>18</v>
      </c>
      <c r="B19">
        <v>10.4371564815581</v>
      </c>
      <c r="C19">
        <v>1.0002023601511E-2</v>
      </c>
      <c r="D19">
        <v>8.1371736230852518E-2</v>
      </c>
      <c r="E19">
        <f>((1-C19)*B19)/A19</f>
        <v>0.57404243311649394</v>
      </c>
      <c r="G19">
        <f>E19-E18</f>
        <v>1.1969242142371606E-2</v>
      </c>
      <c r="H19">
        <f>B19/A19</f>
        <v>0.57984202675322782</v>
      </c>
    </row>
    <row r="20" spans="1:8" x14ac:dyDescent="0.35">
      <c r="A20">
        <v>19</v>
      </c>
      <c r="B20">
        <v>11.230337973371499</v>
      </c>
      <c r="C20">
        <v>1.0001638888825E-2</v>
      </c>
      <c r="D20">
        <v>7.5995937515635506E-2</v>
      </c>
      <c r="E20">
        <f>((1-C20)*B20)/A20</f>
        <v>0.58515874675591473</v>
      </c>
      <c r="G20">
        <f>E20-E19</f>
        <v>1.1116313639420783E-2</v>
      </c>
      <c r="H20">
        <f>B20/A20</f>
        <v>0.5910704196511315</v>
      </c>
    </row>
    <row r="21" spans="1:8" x14ac:dyDescent="0.35">
      <c r="A21">
        <v>20</v>
      </c>
      <c r="B21">
        <v>12.0307192971833</v>
      </c>
      <c r="C21">
        <v>1.0000704062382E-2</v>
      </c>
      <c r="D21">
        <v>7.126956692751385E-2</v>
      </c>
      <c r="E21">
        <f>((1-C21)*B21)/A21</f>
        <v>0.59552018169172904</v>
      </c>
      <c r="G21">
        <f>E21-E20</f>
        <v>1.0361434935814318E-2</v>
      </c>
      <c r="H21">
        <f>B21/A21</f>
        <v>0.60153596485916494</v>
      </c>
    </row>
    <row r="22" spans="1:8" x14ac:dyDescent="0.35">
      <c r="A22">
        <v>21</v>
      </c>
      <c r="B22">
        <v>12.838000459993401</v>
      </c>
      <c r="C22">
        <v>1.0001059774241001E-2</v>
      </c>
      <c r="D22">
        <v>6.7101653930127542E-2</v>
      </c>
      <c r="E22">
        <f>((1-C22)*B22)/A22</f>
        <v>0.60521937381006063</v>
      </c>
      <c r="G22">
        <f>E22-E21</f>
        <v>9.6991921183315899E-3</v>
      </c>
      <c r="H22">
        <f>B22/A22</f>
        <v>0.61133335523778098</v>
      </c>
    </row>
    <row r="23" spans="1:8" x14ac:dyDescent="0.35">
      <c r="A23">
        <v>22</v>
      </c>
      <c r="B23">
        <v>13.651281482802201</v>
      </c>
      <c r="C23">
        <v>1.0000106781632E-2</v>
      </c>
      <c r="D23">
        <v>6.3349508776167948E-2</v>
      </c>
      <c r="E23">
        <f>((1-C23)*B23)/A23</f>
        <v>0.61430760046673016</v>
      </c>
      <c r="G23">
        <f>E23-E22</f>
        <v>9.0882266566695291E-3</v>
      </c>
      <c r="H23">
        <f>B23/A23</f>
        <v>0.62051279467282727</v>
      </c>
    </row>
    <row r="24" spans="1:8" x14ac:dyDescent="0.35">
      <c r="A24">
        <v>23</v>
      </c>
      <c r="B24">
        <v>14.470562365609499</v>
      </c>
      <c r="C24">
        <v>1.0000665186206001E-2</v>
      </c>
      <c r="D24">
        <v>6.0014943200711476E-2</v>
      </c>
      <c r="E24">
        <f>((1-C24)*B24)/A24</f>
        <v>0.6228629181015185</v>
      </c>
      <c r="G24">
        <f>E24-E23</f>
        <v>8.5553176347883397E-3</v>
      </c>
      <c r="H24">
        <f>B24/A24</f>
        <v>0.62915488546128262</v>
      </c>
    </row>
    <row r="25" spans="1:8" x14ac:dyDescent="0.35">
      <c r="A25">
        <v>24</v>
      </c>
      <c r="B25">
        <v>15.295243122415499</v>
      </c>
      <c r="C25">
        <v>1.0001407084230999E-2</v>
      </c>
      <c r="D25">
        <v>5.6990235484276869E-2</v>
      </c>
      <c r="E25">
        <f>((1-C25)*B25)/A25</f>
        <v>0.63092788206233064</v>
      </c>
      <c r="G25">
        <f>E25-E24</f>
        <v>8.0649639608121326E-3</v>
      </c>
      <c r="H25">
        <f>B25/A25</f>
        <v>0.63730179676731247</v>
      </c>
    </row>
    <row r="26" spans="1:8" x14ac:dyDescent="0.35">
      <c r="A26">
        <v>25</v>
      </c>
      <c r="B26">
        <v>16.124723767220399</v>
      </c>
      <c r="C26">
        <v>1.0000943480922999E-2</v>
      </c>
      <c r="D26">
        <v>5.4231282116024571E-2</v>
      </c>
      <c r="E26">
        <f>((1-C26)*B26)/A26</f>
        <v>0.63853845264715725</v>
      </c>
      <c r="G26">
        <f>E26-E25</f>
        <v>7.6105705848266147E-3</v>
      </c>
      <c r="H26">
        <f>B26/A26</f>
        <v>0.6449889506888159</v>
      </c>
    </row>
    <row r="27" spans="1:8" x14ac:dyDescent="0.35">
      <c r="A27">
        <v>26</v>
      </c>
      <c r="B27">
        <v>16.959004300024201</v>
      </c>
      <c r="C27">
        <v>1.0001118984641E-2</v>
      </c>
      <c r="D27">
        <v>5.1739213945468841E-2</v>
      </c>
      <c r="E27">
        <f>((1-C27)*B27)/A27</f>
        <v>0.64574597231379316</v>
      </c>
      <c r="G27">
        <f>E27-E26</f>
        <v>7.2075196666359087E-3</v>
      </c>
      <c r="H27">
        <f>B27/A27</f>
        <v>0.65226939615477697</v>
      </c>
    </row>
    <row r="28" spans="1:8" x14ac:dyDescent="0.35">
      <c r="A28">
        <v>27</v>
      </c>
      <c r="B28">
        <v>17.797484734827002</v>
      </c>
      <c r="C28">
        <v>1.0000229030709001E-2</v>
      </c>
      <c r="D28">
        <v>4.9441607535980397E-2</v>
      </c>
      <c r="E28">
        <f>((1-C28)*B28)/A28</f>
        <v>0.65257428930771055</v>
      </c>
      <c r="G28">
        <f>E28-E27</f>
        <v>6.8283169939173938E-3</v>
      </c>
      <c r="H28">
        <f>B28/A28</f>
        <v>0.65916610128988895</v>
      </c>
    </row>
    <row r="29" spans="1:8" x14ac:dyDescent="0.35">
      <c r="A29">
        <v>28</v>
      </c>
      <c r="B29">
        <v>18.6404650646287</v>
      </c>
      <c r="C29">
        <v>1.0001233335378E-2</v>
      </c>
      <c r="D29">
        <v>4.7365138521631205E-2</v>
      </c>
      <c r="E29">
        <f>((1-C29)*B29)/A29</f>
        <v>0.65907276514419244</v>
      </c>
      <c r="G29">
        <f>E29-E28</f>
        <v>6.4984758364818873E-3</v>
      </c>
      <c r="H29">
        <f>B29/A29</f>
        <v>0.6657308951653107</v>
      </c>
    </row>
    <row r="30" spans="1:8" x14ac:dyDescent="0.35">
      <c r="A30">
        <v>29</v>
      </c>
      <c r="B30">
        <v>19.4870453104296</v>
      </c>
      <c r="C30">
        <v>1.0000669815976001E-2</v>
      </c>
      <c r="D30">
        <v>4.5416262033468956E-2</v>
      </c>
      <c r="E30">
        <f>((1-C30)*B30)/A30</f>
        <v>0.66524695877900097</v>
      </c>
      <c r="G30">
        <f>E30-E29</f>
        <v>6.1741936348085336E-3</v>
      </c>
      <c r="H30">
        <f>B30/A30</f>
        <v>0.67196707966998626</v>
      </c>
    </row>
    <row r="31" spans="1:8" x14ac:dyDescent="0.35">
      <c r="A31">
        <v>30</v>
      </c>
      <c r="B31">
        <v>20.3375254652296</v>
      </c>
      <c r="C31">
        <v>1.0001163068403001E-2</v>
      </c>
      <c r="D31">
        <v>4.3643361076643919E-2</v>
      </c>
      <c r="E31">
        <f>((1-C31)*B31)/A31</f>
        <v>0.67113755188813462</v>
      </c>
      <c r="G31">
        <f>E31-E30</f>
        <v>5.8905931091336461E-3</v>
      </c>
      <c r="H31">
        <f>B31/A31</f>
        <v>0.67791751550765333</v>
      </c>
    </row>
    <row r="32" spans="1:8" x14ac:dyDescent="0.35">
      <c r="A32">
        <v>31</v>
      </c>
      <c r="B32">
        <v>21.1913055430288</v>
      </c>
      <c r="C32">
        <v>1.000072641532E-2</v>
      </c>
      <c r="D32">
        <v>4.1980529010713724E-2</v>
      </c>
      <c r="E32">
        <f>((1-C32)*B32)/A32</f>
        <v>0.67675409980353274</v>
      </c>
      <c r="G32">
        <f>E32-E31</f>
        <v>5.6165479153981179E-3</v>
      </c>
      <c r="H32">
        <f>B32/A32</f>
        <v>0.6835905013880258</v>
      </c>
    </row>
    <row r="33" spans="1:8" x14ac:dyDescent="0.35">
      <c r="A33">
        <v>32</v>
      </c>
      <c r="B33">
        <v>22.048385543827202</v>
      </c>
      <c r="C33">
        <v>1.0000261344319E-2</v>
      </c>
      <c r="D33">
        <v>4.0444889016304643E-2</v>
      </c>
      <c r="E33">
        <f>((1-C33)*B33)/A33</f>
        <v>0.68212174769276956</v>
      </c>
      <c r="G33">
        <f>E33-E32</f>
        <v>5.3676478892368262E-3</v>
      </c>
      <c r="H33">
        <f>B33/A33</f>
        <v>0.68901204824460005</v>
      </c>
    </row>
    <row r="34" spans="1:8" x14ac:dyDescent="0.35">
      <c r="A34">
        <v>33</v>
      </c>
      <c r="B34">
        <v>22.9087654676249</v>
      </c>
      <c r="C34">
        <v>1.0000517493927E-2</v>
      </c>
      <c r="D34">
        <v>3.9022354815388058E-2</v>
      </c>
      <c r="E34">
        <f>((1-C34)*B34)/A34</f>
        <v>0.68726260478186807</v>
      </c>
      <c r="G34">
        <f>E34-E33</f>
        <v>5.140857089098505E-3</v>
      </c>
      <c r="H34">
        <f>B34/A34</f>
        <v>0.69420501417045155</v>
      </c>
    </row>
    <row r="35" spans="1:8" x14ac:dyDescent="0.35">
      <c r="A35">
        <v>34</v>
      </c>
      <c r="B35">
        <v>23.772145321421799</v>
      </c>
      <c r="C35">
        <v>1.0000798390239001E-2</v>
      </c>
      <c r="D35">
        <v>3.7687751224178563E-2</v>
      </c>
      <c r="E35">
        <f>((1-C35)*B35)/A35</f>
        <v>0.69218837908114106</v>
      </c>
      <c r="G35">
        <f>E35-E34</f>
        <v>4.9257742992729892E-3</v>
      </c>
      <c r="H35">
        <f>B35/A35</f>
        <v>0.69918074474769998</v>
      </c>
    </row>
    <row r="36" spans="1:8" x14ac:dyDescent="0.35">
      <c r="A36">
        <v>35</v>
      </c>
      <c r="B36">
        <v>24.638225112218102</v>
      </c>
      <c r="C36">
        <v>1.0000419866095E-2</v>
      </c>
      <c r="D36">
        <v>3.6432546540755478E-2</v>
      </c>
      <c r="E36">
        <f>((1-C36)*B36)/A36</f>
        <v>0.69690950046687294</v>
      </c>
      <c r="G36">
        <f>E36-E35</f>
        <v>4.7211213857318857E-3</v>
      </c>
      <c r="H36">
        <f>B36/A36</f>
        <v>0.70394928892051722</v>
      </c>
    </row>
    <row r="37" spans="1:8" x14ac:dyDescent="0.35">
      <c r="A37">
        <v>36</v>
      </c>
      <c r="B37">
        <v>25.507304833013698</v>
      </c>
      <c r="C37">
        <v>1.0001240516203999E-2</v>
      </c>
      <c r="D37">
        <v>3.5273633422750889E-2</v>
      </c>
      <c r="E37">
        <f>((1-C37)*B37)/A37</f>
        <v>0.70145000395718315</v>
      </c>
      <c r="G37">
        <f>E37-E36</f>
        <v>4.5405034903102104E-3</v>
      </c>
      <c r="H37">
        <f>B37/A37</f>
        <v>0.70853624536149162</v>
      </c>
    </row>
    <row r="38" spans="1:8" x14ac:dyDescent="0.35">
      <c r="A38">
        <v>37</v>
      </c>
      <c r="B38">
        <v>26.378784497808699</v>
      </c>
      <c r="C38">
        <v>1.0001211459213E-2</v>
      </c>
      <c r="D38">
        <v>3.4165885831538657E-2</v>
      </c>
      <c r="E38">
        <f>((1-C38)*B38)/A38</f>
        <v>0.70580985664889473</v>
      </c>
      <c r="G38">
        <f>E38-E37</f>
        <v>4.3598526917115743E-3</v>
      </c>
      <c r="H38">
        <f>B38/A38</f>
        <v>0.71294012156239728</v>
      </c>
    </row>
    <row r="39" spans="1:8" x14ac:dyDescent="0.35">
      <c r="A39">
        <v>38</v>
      </c>
      <c r="B39">
        <v>27.252664106603198</v>
      </c>
      <c r="C39">
        <v>1.00008417333E-2</v>
      </c>
      <c r="D39">
        <v>3.3128122672486805E-2</v>
      </c>
      <c r="E39">
        <f>((1-C39)*B39)/A39</f>
        <v>0.71000301384374409</v>
      </c>
      <c r="G39">
        <f>E39-E38</f>
        <v>4.1931571948493618E-3</v>
      </c>
      <c r="H39">
        <f>B39/A39</f>
        <v>0.71717537122639996</v>
      </c>
    </row>
    <row r="40" spans="1:8" x14ac:dyDescent="0.35">
      <c r="A40">
        <v>39</v>
      </c>
      <c r="B40">
        <v>28.128943659397098</v>
      </c>
      <c r="C40">
        <v>1.0000569185487E-2</v>
      </c>
      <c r="D40">
        <v>3.2153904270283112E-2</v>
      </c>
      <c r="E40">
        <f>((1-C40)*B40)/A40</f>
        <v>0.71404200544145213</v>
      </c>
      <c r="G40">
        <f>E40-E39</f>
        <v>4.0389915977080415E-3</v>
      </c>
      <c r="H40">
        <f>B40/A40</f>
        <v>0.72125496562556657</v>
      </c>
    </row>
    <row r="41" spans="1:8" x14ac:dyDescent="0.35">
      <c r="A41">
        <v>40</v>
      </c>
      <c r="B41">
        <v>29.007623156190501</v>
      </c>
      <c r="C41">
        <v>1.0000770848774E-2</v>
      </c>
      <c r="D41">
        <v>3.1237557564656734E-2</v>
      </c>
      <c r="E41">
        <f>((1-C41)*B41)/A41</f>
        <v>0.71793811410344621</v>
      </c>
      <c r="G41">
        <f>E41-E40</f>
        <v>3.8961086619940799E-3</v>
      </c>
      <c r="H41">
        <f>B41/A41</f>
        <v>0.72519057890476257</v>
      </c>
    </row>
    <row r="42" spans="1:8" x14ac:dyDescent="0.35">
      <c r="A42">
        <v>41</v>
      </c>
      <c r="B42">
        <v>29.888402603983302</v>
      </c>
      <c r="C42">
        <v>1.0000626336756E-2</v>
      </c>
      <c r="D42">
        <v>3.0363723461597505E-2</v>
      </c>
      <c r="E42">
        <f>((1-C42)*B42)/A42</f>
        <v>0.72169511848142287</v>
      </c>
      <c r="G42">
        <f>E42-E41</f>
        <v>3.7570043779766582E-3</v>
      </c>
      <c r="H42">
        <f>B42/A42</f>
        <v>0.72898542936544641</v>
      </c>
    </row>
    <row r="43" spans="1:8" x14ac:dyDescent="0.35">
      <c r="A43">
        <v>42</v>
      </c>
      <c r="B43">
        <v>0</v>
      </c>
      <c r="C43">
        <v>0</v>
      </c>
    </row>
    <row r="44" spans="1:8" x14ac:dyDescent="0.35">
      <c r="A44">
        <v>43</v>
      </c>
      <c r="B44">
        <v>0</v>
      </c>
      <c r="C44">
        <v>0</v>
      </c>
    </row>
    <row r="45" spans="1:8" x14ac:dyDescent="0.35">
      <c r="A45">
        <v>44</v>
      </c>
      <c r="B45">
        <v>0</v>
      </c>
      <c r="C45">
        <v>0</v>
      </c>
    </row>
    <row r="46" spans="1:8" x14ac:dyDescent="0.35">
      <c r="A46">
        <v>45</v>
      </c>
      <c r="B46">
        <v>0</v>
      </c>
      <c r="C46">
        <v>0</v>
      </c>
    </row>
    <row r="47" spans="1:8" x14ac:dyDescent="0.35">
      <c r="A47">
        <v>46</v>
      </c>
      <c r="B47">
        <v>0</v>
      </c>
      <c r="C47">
        <v>0</v>
      </c>
    </row>
    <row r="48" spans="1:8" x14ac:dyDescent="0.35">
      <c r="A48">
        <v>47</v>
      </c>
      <c r="B48">
        <v>0</v>
      </c>
      <c r="C48">
        <v>0</v>
      </c>
    </row>
    <row r="49" spans="1:3" x14ac:dyDescent="0.35">
      <c r="A49">
        <v>48</v>
      </c>
      <c r="B49">
        <v>0</v>
      </c>
      <c r="C49">
        <v>0</v>
      </c>
    </row>
    <row r="50" spans="1:3" x14ac:dyDescent="0.35">
      <c r="A50">
        <v>49</v>
      </c>
      <c r="B50">
        <v>0</v>
      </c>
      <c r="C50">
        <v>0</v>
      </c>
    </row>
    <row r="51" spans="1:3" x14ac:dyDescent="0.35">
      <c r="A51">
        <v>50</v>
      </c>
      <c r="B51">
        <v>0</v>
      </c>
      <c r="C51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Output_f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Caleb Gannon</cp:lastModifiedBy>
  <dcterms:created xsi:type="dcterms:W3CDTF">2022-10-28T02:30:37Z</dcterms:created>
  <dcterms:modified xsi:type="dcterms:W3CDTF">2022-10-28T02:30:37Z</dcterms:modified>
</cp:coreProperties>
</file>