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56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mg22\Downloads\coe4dk4_lab_3_2022\coe4dk4_lab_3_2022\"/>
    </mc:Choice>
  </mc:AlternateContent>
  <xr:revisionPtr revIDLastSave="0" documentId="13_ncr:40009_{4CC3E621-DB9B-464B-8257-F3E28C23DE2E}" xr6:coauthVersionLast="47" xr6:coauthVersionMax="47" xr10:uidLastSave="{00000000-0000-0000-0000-000000000000}"/>
  <bookViews>
    <workbookView xWindow="-110" yWindow="-110" windowWidth="38620" windowHeight="21100"/>
  </bookViews>
  <sheets>
    <sheet name="Output_f" sheetId="1" r:id="rId1"/>
  </sheets>
  <calcPr calcId="0"/>
</workbook>
</file>

<file path=xl/calcChain.xml><?xml version="1.0" encoding="utf-8"?>
<calcChain xmlns="http://schemas.openxmlformats.org/spreadsheetml/2006/main">
  <c r="W48" i="1" l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W47" i="1"/>
  <c r="W25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</calcChain>
</file>

<file path=xl/sharedStrings.xml><?xml version="1.0" encoding="utf-8"?>
<sst xmlns="http://schemas.openxmlformats.org/spreadsheetml/2006/main" count="86" uniqueCount="19">
  <si>
    <t>Seed</t>
  </si>
  <si>
    <t>trunks</t>
  </si>
  <si>
    <t>Load=1.00</t>
  </si>
  <si>
    <t>Load=2.00</t>
  </si>
  <si>
    <t>Load=3.00</t>
  </si>
  <si>
    <t>Load=4.00</t>
  </si>
  <si>
    <t>Load=5.00</t>
  </si>
  <si>
    <t>Load=6.00</t>
  </si>
  <si>
    <t>Load=7.00</t>
  </si>
  <si>
    <t>Load=8.00</t>
  </si>
  <si>
    <t>Load=9.00</t>
  </si>
  <si>
    <t>Load=10.00</t>
  </si>
  <si>
    <t>Load=11.00</t>
  </si>
  <si>
    <t>Load=12.00</t>
  </si>
  <si>
    <t>Load=13.00</t>
  </si>
  <si>
    <t>Load=14.00</t>
  </si>
  <si>
    <t>Load=15.00</t>
  </si>
  <si>
    <t>Theoretical:</t>
  </si>
  <si>
    <t>MEAN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</si>
</sst>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Erlang B Blocking Performance (Experimental)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958779167382405E-2"/>
          <c:y val="0.11660766961651918"/>
          <c:w val="0.90755916594169572"/>
          <c:h val="0.73811139757972732"/>
        </c:manualLayout>
      </c:layout>
      <c:lineChart>
        <c:grouping val="standard"/>
        <c:varyColors val="0"/>
        <c:ser>
          <c:idx val="0"/>
          <c:order val="0"/>
          <c:tx>
            <c:strRef>
              <c:f>Output_f!$C$1</c:f>
              <c:strCache>
                <c:ptCount val="1"/>
                <c:pt idx="0">
                  <c:v>Load=1.00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Output_f!$B$62:$B$81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Output_f!$C$62:$C$81</c:f>
              <c:numCache>
                <c:formatCode>General</c:formatCode>
                <c:ptCount val="20"/>
                <c:pt idx="0">
                  <c:v>0.49990795816003503</c:v>
                </c:pt>
                <c:pt idx="1">
                  <c:v>0.200104198095504</c:v>
                </c:pt>
                <c:pt idx="2">
                  <c:v>6.2455041660680999E-2</c:v>
                </c:pt>
                <c:pt idx="3">
                  <c:v>1.5389752185101999E-2</c:v>
                </c:pt>
                <c:pt idx="4">
                  <c:v>3.0634527959930002E-3</c:v>
                </c:pt>
                <c:pt idx="5">
                  <c:v>5.0810830139300003E-4</c:v>
                </c:pt>
                <c:pt idx="6">
                  <c:v>7.3427921033000003E-5</c:v>
                </c:pt>
                <c:pt idx="7">
                  <c:v>8.3332635010000008E-6</c:v>
                </c:pt>
                <c:pt idx="8">
                  <c:v>7.6666593299999999E-7</c:v>
                </c:pt>
                <c:pt idx="9">
                  <c:v>2.3333321999999999E-7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ED-441F-9F3F-07253DE78978}"/>
            </c:ext>
          </c:extLst>
        </c:ser>
        <c:ser>
          <c:idx val="1"/>
          <c:order val="1"/>
          <c:tx>
            <c:strRef>
              <c:f>Output_f!$D$1</c:f>
              <c:strCache>
                <c:ptCount val="1"/>
                <c:pt idx="0">
                  <c:v>Load=2.00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Output_f!$B$62:$B$81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Output_f!$D$62:$D$81</c:f>
              <c:numCache>
                <c:formatCode>General</c:formatCode>
                <c:ptCount val="20"/>
                <c:pt idx="0">
                  <c:v>0.66666276416392001</c:v>
                </c:pt>
                <c:pt idx="1">
                  <c:v>0.40011416797898902</c:v>
                </c:pt>
                <c:pt idx="2">
                  <c:v>0.21053271014012301</c:v>
                </c:pt>
                <c:pt idx="3">
                  <c:v>9.5215427557799007E-2</c:v>
                </c:pt>
                <c:pt idx="4">
                  <c:v>3.674848604343E-2</c:v>
                </c:pt>
                <c:pt idx="5">
                  <c:v>1.2048721004237E-2</c:v>
                </c:pt>
                <c:pt idx="6">
                  <c:v>3.428371290687E-3</c:v>
                </c:pt>
                <c:pt idx="7">
                  <c:v>8.4907798181899996E-4</c:v>
                </c:pt>
                <c:pt idx="8">
                  <c:v>1.90397048879E-4</c:v>
                </c:pt>
                <c:pt idx="9">
                  <c:v>3.7031951192E-5</c:v>
                </c:pt>
                <c:pt idx="10">
                  <c:v>5.5666341800000001E-6</c:v>
                </c:pt>
                <c:pt idx="11">
                  <c:v>1.133331853E-6</c:v>
                </c:pt>
                <c:pt idx="12">
                  <c:v>1.33333293E-7</c:v>
                </c:pt>
                <c:pt idx="13">
                  <c:v>3.3333327E-8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ED-441F-9F3F-07253DE78978}"/>
            </c:ext>
          </c:extLst>
        </c:ser>
        <c:ser>
          <c:idx val="2"/>
          <c:order val="2"/>
          <c:tx>
            <c:strRef>
              <c:f>Output_f!$E$1</c:f>
              <c:strCache>
                <c:ptCount val="1"/>
                <c:pt idx="0">
                  <c:v>Load=3.00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Output_f!$B$62:$B$81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Output_f!$E$62:$E$81</c:f>
              <c:numCache>
                <c:formatCode>General</c:formatCode>
                <c:ptCount val="20"/>
                <c:pt idx="0">
                  <c:v>0.74994896935032296</c:v>
                </c:pt>
                <c:pt idx="1">
                  <c:v>0.52941277466856196</c:v>
                </c:pt>
                <c:pt idx="2">
                  <c:v>0.34613670528556301</c:v>
                </c:pt>
                <c:pt idx="3">
                  <c:v>0.20599999871126301</c:v>
                </c:pt>
                <c:pt idx="4">
                  <c:v>0.109992527493918</c:v>
                </c:pt>
                <c:pt idx="5">
                  <c:v>5.2099605454717E-2</c:v>
                </c:pt>
                <c:pt idx="6">
                  <c:v>2.1824999231367E-2</c:v>
                </c:pt>
                <c:pt idx="7">
                  <c:v>8.1147425090900005E-3</c:v>
                </c:pt>
                <c:pt idx="8">
                  <c:v>2.703371119906E-3</c:v>
                </c:pt>
                <c:pt idx="9">
                  <c:v>7.9959304847100003E-4</c:v>
                </c:pt>
                <c:pt idx="10">
                  <c:v>2.3048001652100001E-4</c:v>
                </c:pt>
                <c:pt idx="11">
                  <c:v>5.5730212991999997E-5</c:v>
                </c:pt>
                <c:pt idx="12">
                  <c:v>1.2633167572E-5</c:v>
                </c:pt>
                <c:pt idx="13">
                  <c:v>2.033328157E-6</c:v>
                </c:pt>
                <c:pt idx="14">
                  <c:v>1.9999992699999999E-7</c:v>
                </c:pt>
                <c:pt idx="15">
                  <c:v>6.6666640000000002E-8</c:v>
                </c:pt>
                <c:pt idx="16">
                  <c:v>3.3333317000000003E-8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4ED-441F-9F3F-07253DE78978}"/>
            </c:ext>
          </c:extLst>
        </c:ser>
        <c:ser>
          <c:idx val="3"/>
          <c:order val="3"/>
          <c:tx>
            <c:strRef>
              <c:f>Output_f!$F$1</c:f>
              <c:strCache>
                <c:ptCount val="1"/>
                <c:pt idx="0">
                  <c:v>Load=4.00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Output_f!$B$62:$B$81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Output_f!$F$62:$F$81</c:f>
              <c:numCache>
                <c:formatCode>General</c:formatCode>
                <c:ptCount val="20"/>
                <c:pt idx="0">
                  <c:v>0.80003192000465995</c:v>
                </c:pt>
                <c:pt idx="1">
                  <c:v>0.61537985353042801</c:v>
                </c:pt>
                <c:pt idx="2">
                  <c:v>0.45053526237938502</c:v>
                </c:pt>
                <c:pt idx="3">
                  <c:v>0.31076091305627002</c:v>
                </c:pt>
                <c:pt idx="4">
                  <c:v>0.198830876820557</c:v>
                </c:pt>
                <c:pt idx="5">
                  <c:v>0.11713271569299701</c:v>
                </c:pt>
                <c:pt idx="6">
                  <c:v>6.2761218814132005E-2</c:v>
                </c:pt>
                <c:pt idx="7">
                  <c:v>3.0379646608669E-2</c:v>
                </c:pt>
                <c:pt idx="8">
                  <c:v>1.3307836544904E-2</c:v>
                </c:pt>
                <c:pt idx="9">
                  <c:v>5.3144368041050001E-3</c:v>
                </c:pt>
                <c:pt idx="10">
                  <c:v>1.912965356546E-3</c:v>
                </c:pt>
                <c:pt idx="11">
                  <c:v>6.3609476971299996E-4</c:v>
                </c:pt>
                <c:pt idx="12">
                  <c:v>1.9686115303100001E-4</c:v>
                </c:pt>
                <c:pt idx="13">
                  <c:v>5.8296568561999997E-5</c:v>
                </c:pt>
                <c:pt idx="14">
                  <c:v>1.5466423421000001E-5</c:v>
                </c:pt>
                <c:pt idx="15">
                  <c:v>3.799983777E-6</c:v>
                </c:pt>
                <c:pt idx="16">
                  <c:v>5.9999943999999995E-7</c:v>
                </c:pt>
                <c:pt idx="17">
                  <c:v>6.6666619999999995E-8</c:v>
                </c:pt>
                <c:pt idx="18">
                  <c:v>3.3333307E-8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4ED-441F-9F3F-07253DE78978}"/>
            </c:ext>
          </c:extLst>
        </c:ser>
        <c:ser>
          <c:idx val="4"/>
          <c:order val="4"/>
          <c:tx>
            <c:strRef>
              <c:f>Output_f!$G$1</c:f>
              <c:strCache>
                <c:ptCount val="1"/>
                <c:pt idx="0">
                  <c:v>Load=5.00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Output_f!$B$62:$B$81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Output_f!$G$62:$G$81</c:f>
              <c:numCache>
                <c:formatCode>General</c:formatCode>
                <c:ptCount val="20"/>
                <c:pt idx="0">
                  <c:v>0.83331390411080497</c:v>
                </c:pt>
                <c:pt idx="1">
                  <c:v>0.67573134884491204</c:v>
                </c:pt>
                <c:pt idx="2">
                  <c:v>0.52960419662838298</c:v>
                </c:pt>
                <c:pt idx="3">
                  <c:v>0.39841024653410501</c:v>
                </c:pt>
                <c:pt idx="4">
                  <c:v>0.28475375936341002</c:v>
                </c:pt>
                <c:pt idx="5">
                  <c:v>0.19185809087708799</c:v>
                </c:pt>
                <c:pt idx="6">
                  <c:v>0.120506938602779</c:v>
                </c:pt>
                <c:pt idx="7">
                  <c:v>6.9954048626092002E-2</c:v>
                </c:pt>
                <c:pt idx="8">
                  <c:v>3.7392999599593003E-2</c:v>
                </c:pt>
                <c:pt idx="9">
                  <c:v>1.8364424657643E-2</c:v>
                </c:pt>
                <c:pt idx="10">
                  <c:v>8.2639666840589997E-3</c:v>
                </c:pt>
                <c:pt idx="11">
                  <c:v>3.4101947523469999E-3</c:v>
                </c:pt>
                <c:pt idx="12">
                  <c:v>1.306623052847E-3</c:v>
                </c:pt>
                <c:pt idx="13">
                  <c:v>4.7454101896199998E-4</c:v>
                </c:pt>
                <c:pt idx="14">
                  <c:v>1.5844140484600001E-4</c:v>
                </c:pt>
                <c:pt idx="15">
                  <c:v>4.9430841676E-5</c:v>
                </c:pt>
                <c:pt idx="16">
                  <c:v>1.5166433077000001E-5</c:v>
                </c:pt>
                <c:pt idx="17">
                  <c:v>4.4999772730000002E-6</c:v>
                </c:pt>
                <c:pt idx="18">
                  <c:v>9.3333188699999997E-7</c:v>
                </c:pt>
                <c:pt idx="19">
                  <c:v>1.9999983299999999E-7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4ED-441F-9F3F-07253DE78978}"/>
            </c:ext>
          </c:extLst>
        </c:ser>
        <c:ser>
          <c:idx val="5"/>
          <c:order val="5"/>
          <c:tx>
            <c:strRef>
              <c:f>Output_f!$H$1</c:f>
              <c:strCache>
                <c:ptCount val="1"/>
                <c:pt idx="0">
                  <c:v>Load=6.00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Output_f!$B$62:$B$81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Output_f!$H$62:$H$81</c:f>
              <c:numCache>
                <c:formatCode>General</c:formatCode>
                <c:ptCount val="20"/>
                <c:pt idx="0">
                  <c:v>0.85712856772472301</c:v>
                </c:pt>
                <c:pt idx="1">
                  <c:v>0.72000951247399403</c:v>
                </c:pt>
                <c:pt idx="2">
                  <c:v>0.59020951995865401</c:v>
                </c:pt>
                <c:pt idx="3">
                  <c:v>0.46941935298929599</c:v>
                </c:pt>
                <c:pt idx="4">
                  <c:v>0.36035713336639902</c:v>
                </c:pt>
                <c:pt idx="5">
                  <c:v>0.26497812523984099</c:v>
                </c:pt>
                <c:pt idx="6">
                  <c:v>0.18503123779483899</c:v>
                </c:pt>
                <c:pt idx="7">
                  <c:v>0.12184287914238701</c:v>
                </c:pt>
                <c:pt idx="8">
                  <c:v>7.5059900850620004E-2</c:v>
                </c:pt>
                <c:pt idx="9">
                  <c:v>4.3157556855355002E-2</c:v>
                </c:pt>
                <c:pt idx="10">
                  <c:v>2.3027003135805E-2</c:v>
                </c:pt>
                <c:pt idx="11">
                  <c:v>1.1306299055666999E-2</c:v>
                </c:pt>
                <c:pt idx="12">
                  <c:v>5.2087227733549997E-3</c:v>
                </c:pt>
                <c:pt idx="13">
                  <c:v>2.234161619659E-3</c:v>
                </c:pt>
                <c:pt idx="14">
                  <c:v>8.8514851261099997E-4</c:v>
                </c:pt>
                <c:pt idx="15">
                  <c:v>3.3532052026099998E-4</c:v>
                </c:pt>
                <c:pt idx="16">
                  <c:v>1.1768609300399999E-4</c:v>
                </c:pt>
                <c:pt idx="17">
                  <c:v>4.0298341362E-5</c:v>
                </c:pt>
                <c:pt idx="18">
                  <c:v>1.3966463543E-5</c:v>
                </c:pt>
                <c:pt idx="19">
                  <c:v>4.7333077230000002E-6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4ED-441F-9F3F-07253DE78978}"/>
            </c:ext>
          </c:extLst>
        </c:ser>
        <c:ser>
          <c:idx val="6"/>
          <c:order val="6"/>
          <c:tx>
            <c:strRef>
              <c:f>Output_f!$I$1</c:f>
              <c:strCache>
                <c:ptCount val="1"/>
                <c:pt idx="0">
                  <c:v>Load=7.00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Output_f!$B$62:$B$81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Output_f!$I$62:$I$81</c:f>
              <c:numCache>
                <c:formatCode>General</c:formatCode>
                <c:ptCount val="20"/>
                <c:pt idx="0">
                  <c:v>0.87500409242288901</c:v>
                </c:pt>
                <c:pt idx="1">
                  <c:v>0.75387376923577798</c:v>
                </c:pt>
                <c:pt idx="2">
                  <c:v>0.63748533099751703</c:v>
                </c:pt>
                <c:pt idx="3">
                  <c:v>0.52728958560450701</c:v>
                </c:pt>
                <c:pt idx="4">
                  <c:v>0.42462260982611</c:v>
                </c:pt>
                <c:pt idx="5">
                  <c:v>0.331243108529921</c:v>
                </c:pt>
                <c:pt idx="6">
                  <c:v>0.24880728986372699</c:v>
                </c:pt>
                <c:pt idx="7">
                  <c:v>0.178851254538403</c:v>
                </c:pt>
                <c:pt idx="8">
                  <c:v>0.122157780279415</c:v>
                </c:pt>
                <c:pt idx="9">
                  <c:v>7.8832885721541998E-2</c:v>
                </c:pt>
                <c:pt idx="10">
                  <c:v>4.7790590185819999E-2</c:v>
                </c:pt>
                <c:pt idx="11">
                  <c:v>2.7040919069233001E-2</c:v>
                </c:pt>
                <c:pt idx="12">
                  <c:v>1.4350935774894999E-2</c:v>
                </c:pt>
                <c:pt idx="13">
                  <c:v>7.102848828097E-3</c:v>
                </c:pt>
                <c:pt idx="14">
                  <c:v>3.326130755769E-3</c:v>
                </c:pt>
                <c:pt idx="15">
                  <c:v>1.4509569910379999E-3</c:v>
                </c:pt>
                <c:pt idx="16">
                  <c:v>5.9760883567200004E-4</c:v>
                </c:pt>
                <c:pt idx="17">
                  <c:v>2.3684374942700001E-4</c:v>
                </c:pt>
                <c:pt idx="18">
                  <c:v>8.8225456003999998E-5</c:v>
                </c:pt>
                <c:pt idx="19">
                  <c:v>3.0599037270000003E-5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4ED-441F-9F3F-07253DE78978}"/>
            </c:ext>
          </c:extLst>
        </c:ser>
        <c:ser>
          <c:idx val="7"/>
          <c:order val="7"/>
          <c:tx>
            <c:strRef>
              <c:f>Output_f!$J$1</c:f>
              <c:strCache>
                <c:ptCount val="1"/>
                <c:pt idx="0">
                  <c:v>Load=8.00</c:v>
                </c:pt>
              </c:strCache>
            </c:strRef>
          </c:tx>
          <c:spPr>
            <a:ln w="34925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Output_f!$B$62:$B$81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Output_f!$J$62:$J$81</c:f>
              <c:numCache>
                <c:formatCode>General</c:formatCode>
                <c:ptCount val="20"/>
                <c:pt idx="0">
                  <c:v>0.888853351422213</c:v>
                </c:pt>
                <c:pt idx="1">
                  <c:v>0.78047963135531395</c:v>
                </c:pt>
                <c:pt idx="2">
                  <c:v>0.67533829012332403</c:v>
                </c:pt>
                <c:pt idx="3">
                  <c:v>0.57457968063519405</c:v>
                </c:pt>
                <c:pt idx="4">
                  <c:v>0.47892116858640499</c:v>
                </c:pt>
                <c:pt idx="5">
                  <c:v>0.38969103645087999</c:v>
                </c:pt>
                <c:pt idx="6">
                  <c:v>0.30820081167916702</c:v>
                </c:pt>
                <c:pt idx="7">
                  <c:v>0.23553381586514499</c:v>
                </c:pt>
                <c:pt idx="8">
                  <c:v>0.17312856739122701</c:v>
                </c:pt>
                <c:pt idx="9">
                  <c:v>0.12175379085237401</c:v>
                </c:pt>
                <c:pt idx="10">
                  <c:v>8.1387271271416997E-2</c:v>
                </c:pt>
                <c:pt idx="11">
                  <c:v>5.1378352163611002E-2</c:v>
                </c:pt>
                <c:pt idx="12">
                  <c:v>3.0648348686735001E-2</c:v>
                </c:pt>
                <c:pt idx="13">
                  <c:v>1.7172879113677E-2</c:v>
                </c:pt>
                <c:pt idx="14">
                  <c:v>9.0348533947660001E-3</c:v>
                </c:pt>
                <c:pt idx="15">
                  <c:v>4.5288922496709997E-3</c:v>
                </c:pt>
                <c:pt idx="16">
                  <c:v>2.119430311154E-3</c:v>
                </c:pt>
                <c:pt idx="17">
                  <c:v>9.31996688008E-4</c:v>
                </c:pt>
                <c:pt idx="18">
                  <c:v>3.9680873534400001E-4</c:v>
                </c:pt>
                <c:pt idx="19">
                  <c:v>1.64572762471E-4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4ED-441F-9F3F-07253DE78978}"/>
            </c:ext>
          </c:extLst>
        </c:ser>
        <c:ser>
          <c:idx val="8"/>
          <c:order val="8"/>
          <c:tx>
            <c:strRef>
              <c:f>Output_f!$K$1</c:f>
              <c:strCache>
                <c:ptCount val="1"/>
                <c:pt idx="0">
                  <c:v>Load=9.00</c:v>
                </c:pt>
              </c:strCache>
            </c:strRef>
          </c:tx>
          <c:spPr>
            <a:ln w="34925" cap="rnd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Output_f!$B$62:$B$81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Output_f!$K$62:$K$81</c:f>
              <c:numCache>
                <c:formatCode>General</c:formatCode>
                <c:ptCount val="20"/>
                <c:pt idx="0">
                  <c:v>0.90002747144247197</c:v>
                </c:pt>
                <c:pt idx="1">
                  <c:v>0.80197703837436196</c:v>
                </c:pt>
                <c:pt idx="2">
                  <c:v>0.70640711873630901</c:v>
                </c:pt>
                <c:pt idx="3">
                  <c:v>0.61380343772183499</c:v>
                </c:pt>
                <c:pt idx="4">
                  <c:v>0.52491791007335498</c:v>
                </c:pt>
                <c:pt idx="5">
                  <c:v>0.44067018770380101</c:v>
                </c:pt>
                <c:pt idx="6">
                  <c:v>0.36165259503972702</c:v>
                </c:pt>
                <c:pt idx="7">
                  <c:v>0.289196683017925</c:v>
                </c:pt>
                <c:pt idx="8">
                  <c:v>0.22422950718047799</c:v>
                </c:pt>
                <c:pt idx="9">
                  <c:v>0.16777082091817699</c:v>
                </c:pt>
                <c:pt idx="10">
                  <c:v>0.120738837941715</c:v>
                </c:pt>
                <c:pt idx="11">
                  <c:v>8.3156979840683001E-2</c:v>
                </c:pt>
                <c:pt idx="12">
                  <c:v>5.4437355886859003E-2</c:v>
                </c:pt>
                <c:pt idx="13">
                  <c:v>3.3890264875851998E-2</c:v>
                </c:pt>
                <c:pt idx="14">
                  <c:v>1.9838449840375E-2</c:v>
                </c:pt>
                <c:pt idx="15">
                  <c:v>1.1014975851005001E-2</c:v>
                </c:pt>
                <c:pt idx="16">
                  <c:v>5.797781356605E-3</c:v>
                </c:pt>
                <c:pt idx="17">
                  <c:v>2.8911464048529999E-3</c:v>
                </c:pt>
                <c:pt idx="18">
                  <c:v>1.37809708262E-3</c:v>
                </c:pt>
                <c:pt idx="19">
                  <c:v>6.3609455070999998E-4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4ED-441F-9F3F-07253DE78978}"/>
            </c:ext>
          </c:extLst>
        </c:ser>
        <c:ser>
          <c:idx val="9"/>
          <c:order val="9"/>
          <c:tx>
            <c:strRef>
              <c:f>Output_f!$L$1</c:f>
              <c:strCache>
                <c:ptCount val="1"/>
                <c:pt idx="0">
                  <c:v>Load=10.00</c:v>
                </c:pt>
              </c:strCache>
            </c:strRef>
          </c:tx>
          <c:spPr>
            <a:ln w="34925" cap="rnd">
              <a:solidFill>
                <a:schemeClr val="accent4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Output_f!$B$62:$B$81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Output_f!$L$62:$L$81</c:f>
              <c:numCache>
                <c:formatCode>General</c:formatCode>
                <c:ptCount val="20"/>
                <c:pt idx="0">
                  <c:v>0.90908143578049105</c:v>
                </c:pt>
                <c:pt idx="1">
                  <c:v>0.819692116294092</c:v>
                </c:pt>
                <c:pt idx="2">
                  <c:v>0.73204303905527002</c:v>
                </c:pt>
                <c:pt idx="3">
                  <c:v>0.64667669278443296</c:v>
                </c:pt>
                <c:pt idx="4">
                  <c:v>0.56385912428548701</c:v>
                </c:pt>
                <c:pt idx="5">
                  <c:v>0.48445604605756998</c:v>
                </c:pt>
                <c:pt idx="6">
                  <c:v>0.40917016434500197</c:v>
                </c:pt>
                <c:pt idx="7">
                  <c:v>0.338143704054431</c:v>
                </c:pt>
                <c:pt idx="8">
                  <c:v>0.27321482593417801</c:v>
                </c:pt>
                <c:pt idx="9">
                  <c:v>0.21444024439578799</c:v>
                </c:pt>
                <c:pt idx="10">
                  <c:v>0.163239623411645</c:v>
                </c:pt>
                <c:pt idx="11">
                  <c:v>0.119776056543105</c:v>
                </c:pt>
                <c:pt idx="12">
                  <c:v>8.4236367406738996E-2</c:v>
                </c:pt>
                <c:pt idx="13">
                  <c:v>5.6843329569228003E-2</c:v>
                </c:pt>
                <c:pt idx="14">
                  <c:v>3.6491774302339998E-2</c:v>
                </c:pt>
                <c:pt idx="15">
                  <c:v>2.2308607641644999E-2</c:v>
                </c:pt>
                <c:pt idx="16">
                  <c:v>1.2969559352322E-2</c:v>
                </c:pt>
                <c:pt idx="17">
                  <c:v>7.1235820731499998E-3</c:v>
                </c:pt>
                <c:pt idx="18">
                  <c:v>3.7570606148549998E-3</c:v>
                </c:pt>
                <c:pt idx="19">
                  <c:v>1.8659099069879999E-3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4ED-441F-9F3F-07253DE78978}"/>
            </c:ext>
          </c:extLst>
        </c:ser>
        <c:ser>
          <c:idx val="10"/>
          <c:order val="10"/>
          <c:tx>
            <c:strRef>
              <c:f>Output_f!$M$1</c:f>
              <c:strCache>
                <c:ptCount val="1"/>
                <c:pt idx="0">
                  <c:v>Load=11.00</c:v>
                </c:pt>
              </c:strCache>
            </c:strRef>
          </c:tx>
          <c:spPr>
            <a:ln w="34925" cap="rnd">
              <a:solidFill>
                <a:schemeClr val="accent5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Output_f!$B$62:$B$81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Output_f!$M$62:$M$81</c:f>
              <c:numCache>
                <c:formatCode>General</c:formatCode>
                <c:ptCount val="20"/>
                <c:pt idx="0">
                  <c:v>0.91666369701667905</c:v>
                </c:pt>
                <c:pt idx="1">
                  <c:v>0.83449765828943401</c:v>
                </c:pt>
                <c:pt idx="2">
                  <c:v>0.75363662231740902</c:v>
                </c:pt>
                <c:pt idx="3">
                  <c:v>0.67437739250637696</c:v>
                </c:pt>
                <c:pt idx="4">
                  <c:v>0.59746824747943605</c:v>
                </c:pt>
                <c:pt idx="5">
                  <c:v>0.52282150941912897</c:v>
                </c:pt>
                <c:pt idx="6">
                  <c:v>0.45090303450946201</c:v>
                </c:pt>
                <c:pt idx="7">
                  <c:v>0.38260884263105399</c:v>
                </c:pt>
                <c:pt idx="8">
                  <c:v>0.31859658544618802</c:v>
                </c:pt>
                <c:pt idx="9">
                  <c:v>0.25944678222871398</c:v>
                </c:pt>
                <c:pt idx="10">
                  <c:v>0.205963843230767</c:v>
                </c:pt>
                <c:pt idx="11">
                  <c:v>0.15873100980087501</c:v>
                </c:pt>
                <c:pt idx="12">
                  <c:v>0.11845477765875501</c:v>
                </c:pt>
                <c:pt idx="13">
                  <c:v>8.5357158681236001E-2</c:v>
                </c:pt>
                <c:pt idx="14">
                  <c:v>5.8765753302516002E-2</c:v>
                </c:pt>
                <c:pt idx="15">
                  <c:v>3.8889734286957002E-2</c:v>
                </c:pt>
                <c:pt idx="16">
                  <c:v>2.4583106198559999E-2</c:v>
                </c:pt>
                <c:pt idx="17">
                  <c:v>1.4784909982273E-2</c:v>
                </c:pt>
                <c:pt idx="18">
                  <c:v>8.4960497839110007E-3</c:v>
                </c:pt>
                <c:pt idx="19">
                  <c:v>4.63989720361E-3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4ED-441F-9F3F-07253DE78978}"/>
            </c:ext>
          </c:extLst>
        </c:ser>
        <c:ser>
          <c:idx val="11"/>
          <c:order val="11"/>
          <c:tx>
            <c:strRef>
              <c:f>Output_f!$N$1</c:f>
              <c:strCache>
                <c:ptCount val="1"/>
                <c:pt idx="0">
                  <c:v>Load=12.00</c:v>
                </c:pt>
              </c:strCache>
            </c:strRef>
          </c:tx>
          <c:spPr>
            <a:ln w="34925" cap="rnd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Output_f!$B$62:$B$81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Output_f!$N$62:$N$81</c:f>
              <c:numCache>
                <c:formatCode>General</c:formatCode>
                <c:ptCount val="20"/>
                <c:pt idx="0">
                  <c:v>0.92308487191993704</c:v>
                </c:pt>
                <c:pt idx="1">
                  <c:v>0.84706114181025205</c:v>
                </c:pt>
                <c:pt idx="2">
                  <c:v>0.77212001953476395</c:v>
                </c:pt>
                <c:pt idx="3">
                  <c:v>0.69847431725167897</c:v>
                </c:pt>
                <c:pt idx="4">
                  <c:v>0.62631460139467898</c:v>
                </c:pt>
                <c:pt idx="5">
                  <c:v>0.55601729698275204</c:v>
                </c:pt>
                <c:pt idx="6">
                  <c:v>0.48793304560726902</c:v>
                </c:pt>
                <c:pt idx="7">
                  <c:v>0.42252861113370499</c:v>
                </c:pt>
                <c:pt idx="8">
                  <c:v>0.36033159128297099</c:v>
                </c:pt>
                <c:pt idx="9">
                  <c:v>0.301964633055535</c:v>
                </c:pt>
                <c:pt idx="10">
                  <c:v>0.24780592893803499</c:v>
                </c:pt>
                <c:pt idx="11">
                  <c:v>0.19850348188792599</c:v>
                </c:pt>
                <c:pt idx="12">
                  <c:v>0.154831575275681</c:v>
                </c:pt>
                <c:pt idx="13">
                  <c:v>0.117038800222418</c:v>
                </c:pt>
                <c:pt idx="14">
                  <c:v>8.5654383393282005E-2</c:v>
                </c:pt>
                <c:pt idx="15">
                  <c:v>6.0451731642854001E-2</c:v>
                </c:pt>
                <c:pt idx="16">
                  <c:v>4.0957092711452002E-2</c:v>
                </c:pt>
                <c:pt idx="17">
                  <c:v>2.6640250890884998E-2</c:v>
                </c:pt>
                <c:pt idx="18">
                  <c:v>1.6469652228468998E-2</c:v>
                </c:pt>
                <c:pt idx="19">
                  <c:v>9.7773460915389996E-3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4ED-441F-9F3F-07253DE78978}"/>
            </c:ext>
          </c:extLst>
        </c:ser>
        <c:ser>
          <c:idx val="12"/>
          <c:order val="12"/>
          <c:tx>
            <c:strRef>
              <c:f>Output_f!$O$1</c:f>
              <c:strCache>
                <c:ptCount val="1"/>
                <c:pt idx="0">
                  <c:v>Load=13.00</c:v>
                </c:pt>
              </c:strCache>
            </c:strRef>
          </c:tx>
          <c:spPr>
            <a:ln w="349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Output_f!$B$62:$B$81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Output_f!$O$62:$O$81</c:f>
              <c:numCache>
                <c:formatCode>General</c:formatCode>
                <c:ptCount val="20"/>
                <c:pt idx="0">
                  <c:v>0.92857522889893496</c:v>
                </c:pt>
                <c:pt idx="1">
                  <c:v>0.85788606362098596</c:v>
                </c:pt>
                <c:pt idx="2">
                  <c:v>0.78802115568619202</c:v>
                </c:pt>
                <c:pt idx="3">
                  <c:v>0.71918072293227797</c:v>
                </c:pt>
                <c:pt idx="4">
                  <c:v>0.65153187594180295</c:v>
                </c:pt>
                <c:pt idx="5">
                  <c:v>0.58539240570636897</c:v>
                </c:pt>
                <c:pt idx="6">
                  <c:v>0.52090210726769504</c:v>
                </c:pt>
                <c:pt idx="7">
                  <c:v>0.458328384556348</c:v>
                </c:pt>
                <c:pt idx="8">
                  <c:v>0.39845970440558998</c:v>
                </c:pt>
                <c:pt idx="9">
                  <c:v>0.341071860798355</c:v>
                </c:pt>
                <c:pt idx="10">
                  <c:v>0.28711338206947801</c:v>
                </c:pt>
                <c:pt idx="11">
                  <c:v>0.23741719483356</c:v>
                </c:pt>
                <c:pt idx="12">
                  <c:v>0.191593621780074</c:v>
                </c:pt>
                <c:pt idx="13">
                  <c:v>0.15098329640399399</c:v>
                </c:pt>
                <c:pt idx="14">
                  <c:v>0.11589168867399401</c:v>
                </c:pt>
                <c:pt idx="15">
                  <c:v>8.5877607251912999E-2</c:v>
                </c:pt>
                <c:pt idx="16">
                  <c:v>6.1693424112516E-2</c:v>
                </c:pt>
                <c:pt idx="17">
                  <c:v>4.2681103879802E-2</c:v>
                </c:pt>
                <c:pt idx="18">
                  <c:v>2.8408441702398E-2</c:v>
                </c:pt>
                <c:pt idx="19">
                  <c:v>1.8184304340822001E-2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4ED-441F-9F3F-07253DE78978}"/>
            </c:ext>
          </c:extLst>
        </c:ser>
        <c:ser>
          <c:idx val="13"/>
          <c:order val="13"/>
          <c:tx>
            <c:strRef>
              <c:f>Output_f!$P$1</c:f>
              <c:strCache>
                <c:ptCount val="1"/>
                <c:pt idx="0">
                  <c:v>Load=14.00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Output_f!$B$62:$B$81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Output_f!$P$62:$P$81</c:f>
              <c:numCache>
                <c:formatCode>General</c:formatCode>
                <c:ptCount val="20"/>
                <c:pt idx="0">
                  <c:v>0.93331757878756205</c:v>
                </c:pt>
                <c:pt idx="1">
                  <c:v>0.86725250147747202</c:v>
                </c:pt>
                <c:pt idx="2">
                  <c:v>0.80182217178348403</c:v>
                </c:pt>
                <c:pt idx="3">
                  <c:v>0.73725477242892301</c:v>
                </c:pt>
                <c:pt idx="4">
                  <c:v>0.67363268252220798</c:v>
                </c:pt>
                <c:pt idx="5">
                  <c:v>0.61118087402628496</c:v>
                </c:pt>
                <c:pt idx="6">
                  <c:v>0.54995749301030605</c:v>
                </c:pt>
                <c:pt idx="7">
                  <c:v>0.49035814692327601</c:v>
                </c:pt>
                <c:pt idx="8">
                  <c:v>0.43268707387518401</c:v>
                </c:pt>
                <c:pt idx="9">
                  <c:v>0.37708488173847299</c:v>
                </c:pt>
                <c:pt idx="10">
                  <c:v>0.32438276211482803</c:v>
                </c:pt>
                <c:pt idx="11">
                  <c:v>0.27447989776356102</c:v>
                </c:pt>
                <c:pt idx="12">
                  <c:v>0.22799297757209699</c:v>
                </c:pt>
                <c:pt idx="13">
                  <c:v>0.185659244820811</c:v>
                </c:pt>
                <c:pt idx="14">
                  <c:v>0.14775216622315601</c:v>
                </c:pt>
                <c:pt idx="15">
                  <c:v>0.11451798661921</c:v>
                </c:pt>
                <c:pt idx="16">
                  <c:v>8.6101296518873993E-2</c:v>
                </c:pt>
                <c:pt idx="17">
                  <c:v>6.2865824991710006E-2</c:v>
                </c:pt>
                <c:pt idx="18">
                  <c:v>4.4284061967813003E-2</c:v>
                </c:pt>
                <c:pt idx="19">
                  <c:v>3.0011869735748001E-2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4ED-441F-9F3F-07253DE78978}"/>
            </c:ext>
          </c:extLst>
        </c:ser>
        <c:ser>
          <c:idx val="14"/>
          <c:order val="14"/>
          <c:tx>
            <c:strRef>
              <c:f>Output_f!$Q$1</c:f>
              <c:strCache>
                <c:ptCount val="1"/>
                <c:pt idx="0">
                  <c:v>Load=15.00</c:v>
                </c:pt>
              </c:strCache>
            </c:strRef>
          </c:tx>
          <c:spPr>
            <a:ln w="349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Output_f!$B$62:$B$81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Output_f!$Q$62:$Q$81</c:f>
              <c:numCache>
                <c:formatCode>General</c:formatCode>
                <c:ptCount val="20"/>
                <c:pt idx="0">
                  <c:v>0.937476824436829</c:v>
                </c:pt>
                <c:pt idx="1">
                  <c:v>0.87547006493074997</c:v>
                </c:pt>
                <c:pt idx="2">
                  <c:v>0.81408663330033304</c:v>
                </c:pt>
                <c:pt idx="3">
                  <c:v>0.75325311186274102</c:v>
                </c:pt>
                <c:pt idx="4">
                  <c:v>0.69318213991590705</c:v>
                </c:pt>
                <c:pt idx="5">
                  <c:v>0.63410560912855496</c:v>
                </c:pt>
                <c:pt idx="6">
                  <c:v>0.576104733867979</c:v>
                </c:pt>
                <c:pt idx="7">
                  <c:v>0.51927064168478598</c:v>
                </c:pt>
                <c:pt idx="8">
                  <c:v>0.463877440810885</c:v>
                </c:pt>
                <c:pt idx="9">
                  <c:v>0.41017993689642102</c:v>
                </c:pt>
                <c:pt idx="10">
                  <c:v>0.35874213210245598</c:v>
                </c:pt>
                <c:pt idx="11">
                  <c:v>0.30947121430310998</c:v>
                </c:pt>
                <c:pt idx="12">
                  <c:v>0.26324261497528401</c:v>
                </c:pt>
                <c:pt idx="13">
                  <c:v>0.219944059308086</c:v>
                </c:pt>
                <c:pt idx="14">
                  <c:v>0.18030992923532499</c:v>
                </c:pt>
                <c:pt idx="15">
                  <c:v>0.14454939620510801</c:v>
                </c:pt>
                <c:pt idx="16">
                  <c:v>0.11287790851655501</c:v>
                </c:pt>
                <c:pt idx="17">
                  <c:v>8.6062716063764005E-2</c:v>
                </c:pt>
                <c:pt idx="18">
                  <c:v>6.3743331517062005E-2</c:v>
                </c:pt>
                <c:pt idx="19">
                  <c:v>4.5675354312181997E-2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4ED-441F-9F3F-07253DE789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9140831"/>
        <c:axId val="299140415"/>
      </c:lineChart>
      <c:catAx>
        <c:axId val="299140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Trunks</a:t>
                </a:r>
              </a:p>
            </c:rich>
          </c:tx>
          <c:layout>
            <c:manualLayout>
              <c:xMode val="edge"/>
              <c:yMode val="edge"/>
              <c:x val="0.47971795397496503"/>
              <c:y val="7.595800524934377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140415"/>
        <c:crosses val="autoZero"/>
        <c:auto val="1"/>
        <c:lblAlgn val="ctr"/>
        <c:lblOffset val="100"/>
        <c:noMultiLvlLbl val="0"/>
      </c:catAx>
      <c:valAx>
        <c:axId val="299140415"/>
        <c:scaling>
          <c:logBase val="10"/>
          <c:orientation val="minMax"/>
          <c:min val="1.0000000000000004E-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Blocking Probability (Pb)</a:t>
                </a:r>
              </a:p>
            </c:rich>
          </c:tx>
          <c:layout>
            <c:manualLayout>
              <c:xMode val="edge"/>
              <c:yMode val="edge"/>
              <c:x val="0"/>
              <c:y val="0.4228241934359975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140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Erlang B Blocking Performance (Theoretical)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Output_f!$W$1</c:f>
              <c:strCache>
                <c:ptCount val="1"/>
                <c:pt idx="0">
                  <c:v>Load=1.00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Output_f!$V$2:$V$21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Output_f!$W$2:$W$21</c:f>
              <c:numCache>
                <c:formatCode>General</c:formatCode>
                <c:ptCount val="20"/>
                <c:pt idx="0">
                  <c:v>0.5</c:v>
                </c:pt>
                <c:pt idx="1">
                  <c:v>0.2</c:v>
                </c:pt>
                <c:pt idx="2">
                  <c:v>6.25E-2</c:v>
                </c:pt>
                <c:pt idx="3">
                  <c:v>1.5384615384615E-2</c:v>
                </c:pt>
                <c:pt idx="4">
                  <c:v>3.0674846625769999E-3</c:v>
                </c:pt>
                <c:pt idx="5">
                  <c:v>5.1098620337300003E-4</c:v>
                </c:pt>
                <c:pt idx="6">
                  <c:v>7.2992700729999994E-5</c:v>
                </c:pt>
                <c:pt idx="7">
                  <c:v>9.1240043430000004E-6</c:v>
                </c:pt>
                <c:pt idx="8">
                  <c:v>1.013777233E-6</c:v>
                </c:pt>
                <c:pt idx="9">
                  <c:v>1.01377713E-7</c:v>
                </c:pt>
                <c:pt idx="10">
                  <c:v>9.2161559999999997E-9</c:v>
                </c:pt>
                <c:pt idx="11">
                  <c:v>7.6801300000000004E-10</c:v>
                </c:pt>
                <c:pt idx="12">
                  <c:v>5.9078E-11</c:v>
                </c:pt>
                <c:pt idx="13">
                  <c:v>4.2200000000000002E-12</c:v>
                </c:pt>
                <c:pt idx="14">
                  <c:v>2.8100000000000001E-13</c:v>
                </c:pt>
                <c:pt idx="15">
                  <c:v>1.7999999999999999E-14</c:v>
                </c:pt>
                <c:pt idx="16">
                  <c:v>1.0000000000000001E-15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DF-4B24-9964-6E12E1426F6A}"/>
            </c:ext>
          </c:extLst>
        </c:ser>
        <c:ser>
          <c:idx val="1"/>
          <c:order val="1"/>
          <c:tx>
            <c:strRef>
              <c:f>Output_f!$X$1</c:f>
              <c:strCache>
                <c:ptCount val="1"/>
                <c:pt idx="0">
                  <c:v>Load=2.00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Output_f!$V$2:$V$21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Output_f!$X$2:$X$21</c:f>
              <c:numCache>
                <c:formatCode>General</c:formatCode>
                <c:ptCount val="20"/>
                <c:pt idx="0">
                  <c:v>0.66666666666666696</c:v>
                </c:pt>
                <c:pt idx="1">
                  <c:v>0.4</c:v>
                </c:pt>
                <c:pt idx="2">
                  <c:v>0.21052631578947401</c:v>
                </c:pt>
                <c:pt idx="3">
                  <c:v>9.5238095238094997E-2</c:v>
                </c:pt>
                <c:pt idx="4">
                  <c:v>3.6697247706422E-2</c:v>
                </c:pt>
                <c:pt idx="5">
                  <c:v>1.2084592145015E-2</c:v>
                </c:pt>
                <c:pt idx="6">
                  <c:v>3.4408602150539998E-3</c:v>
                </c:pt>
                <c:pt idx="7">
                  <c:v>8.5947571981100004E-4</c:v>
                </c:pt>
                <c:pt idx="8">
                  <c:v>1.90958132429E-4</c:v>
                </c:pt>
                <c:pt idx="9">
                  <c:v>3.8190167941E-5</c:v>
                </c:pt>
                <c:pt idx="10">
                  <c:v>6.9436186840000003E-6</c:v>
                </c:pt>
                <c:pt idx="11">
                  <c:v>1.1572684410000001E-6</c:v>
                </c:pt>
                <c:pt idx="12">
                  <c:v>1.7804126699999999E-7</c:v>
                </c:pt>
                <c:pt idx="13">
                  <c:v>2.5434466000000001E-8</c:v>
                </c:pt>
                <c:pt idx="14">
                  <c:v>3.3912619999999999E-9</c:v>
                </c:pt>
                <c:pt idx="15">
                  <c:v>4.2390800000000002E-10</c:v>
                </c:pt>
                <c:pt idx="16">
                  <c:v>4.9872000000000002E-11</c:v>
                </c:pt>
                <c:pt idx="17">
                  <c:v>5.5409999999999999E-12</c:v>
                </c:pt>
                <c:pt idx="18">
                  <c:v>5.8300000000000004E-13</c:v>
                </c:pt>
                <c:pt idx="19">
                  <c:v>5.8000000000000005E-14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DF-4B24-9964-6E12E1426F6A}"/>
            </c:ext>
          </c:extLst>
        </c:ser>
        <c:ser>
          <c:idx val="2"/>
          <c:order val="2"/>
          <c:tx>
            <c:strRef>
              <c:f>Output_f!$Y$1</c:f>
              <c:strCache>
                <c:ptCount val="1"/>
                <c:pt idx="0">
                  <c:v>Load=3.00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Output_f!$V$2:$V$21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Output_f!$Y$2:$Y$21</c:f>
              <c:numCache>
                <c:formatCode>General</c:formatCode>
                <c:ptCount val="20"/>
                <c:pt idx="0">
                  <c:v>0.75</c:v>
                </c:pt>
                <c:pt idx="1">
                  <c:v>0.52941176470588203</c:v>
                </c:pt>
                <c:pt idx="2">
                  <c:v>0.34615384615384598</c:v>
                </c:pt>
                <c:pt idx="3">
                  <c:v>0.206106870229008</c:v>
                </c:pt>
                <c:pt idx="4">
                  <c:v>0.110054347826087</c:v>
                </c:pt>
                <c:pt idx="5">
                  <c:v>5.2157115260786001E-2</c:v>
                </c:pt>
                <c:pt idx="6">
                  <c:v>2.1864315278027999E-2</c:v>
                </c:pt>
                <c:pt idx="7">
                  <c:v>8.1324393971509996E-3</c:v>
                </c:pt>
                <c:pt idx="8">
                  <c:v>2.7034844911220002E-3</c:v>
                </c:pt>
                <c:pt idx="9">
                  <c:v>8.1038808584999995E-4</c:v>
                </c:pt>
                <c:pt idx="10">
                  <c:v>2.2096609569799999E-4</c:v>
                </c:pt>
                <c:pt idx="11">
                  <c:v>5.5238472467000001E-5</c:v>
                </c:pt>
                <c:pt idx="12">
                  <c:v>1.2747177307E-5</c:v>
                </c:pt>
                <c:pt idx="13">
                  <c:v>2.7315305330000001E-6</c:v>
                </c:pt>
                <c:pt idx="14">
                  <c:v>5.4630580799999996E-7</c:v>
                </c:pt>
                <c:pt idx="15">
                  <c:v>1.02432329E-7</c:v>
                </c:pt>
                <c:pt idx="16">
                  <c:v>1.8076293E-8</c:v>
                </c:pt>
                <c:pt idx="17">
                  <c:v>3.012715E-9</c:v>
                </c:pt>
                <c:pt idx="18">
                  <c:v>4.7569199999999995E-10</c:v>
                </c:pt>
                <c:pt idx="19">
                  <c:v>7.1354E-11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ADF-4B24-9964-6E12E1426F6A}"/>
            </c:ext>
          </c:extLst>
        </c:ser>
        <c:ser>
          <c:idx val="3"/>
          <c:order val="3"/>
          <c:tx>
            <c:strRef>
              <c:f>Output_f!$Z$1</c:f>
              <c:strCache>
                <c:ptCount val="1"/>
                <c:pt idx="0">
                  <c:v>Load=4.00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Output_f!$V$2:$V$21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Output_f!$Z$2:$Z$21</c:f>
              <c:numCache>
                <c:formatCode>General</c:formatCode>
                <c:ptCount val="20"/>
                <c:pt idx="0">
                  <c:v>0.8</c:v>
                </c:pt>
                <c:pt idx="1">
                  <c:v>0.61538461538461497</c:v>
                </c:pt>
                <c:pt idx="2">
                  <c:v>0.45070422535211302</c:v>
                </c:pt>
                <c:pt idx="3">
                  <c:v>0.31067961165048502</c:v>
                </c:pt>
                <c:pt idx="4">
                  <c:v>0.199066874027994</c:v>
                </c:pt>
                <c:pt idx="5">
                  <c:v>0.117162471395881</c:v>
                </c:pt>
                <c:pt idx="6">
                  <c:v>6.2748942949936007E-2</c:v>
                </c:pt>
                <c:pt idx="7">
                  <c:v>3.0420058225892999E-2</c:v>
                </c:pt>
                <c:pt idx="8">
                  <c:v>1.3339673151954E-2</c:v>
                </c:pt>
                <c:pt idx="9">
                  <c:v>5.3075488738950002E-3</c:v>
                </c:pt>
                <c:pt idx="10">
                  <c:v>1.926299979131E-3</c:v>
                </c:pt>
                <c:pt idx="11">
                  <c:v>6.4168796520600003E-4</c:v>
                </c:pt>
                <c:pt idx="12">
                  <c:v>1.9740347500700001E-4</c:v>
                </c:pt>
                <c:pt idx="13">
                  <c:v>5.6397811965999999E-5</c:v>
                </c:pt>
                <c:pt idx="14">
                  <c:v>1.5039190344E-5</c:v>
                </c:pt>
                <c:pt idx="15">
                  <c:v>3.7597834499999999E-6</c:v>
                </c:pt>
                <c:pt idx="16">
                  <c:v>8.8465414699999998E-7</c:v>
                </c:pt>
                <c:pt idx="17">
                  <c:v>1.9658977200000001E-7</c:v>
                </c:pt>
                <c:pt idx="18">
                  <c:v>4.1387318999999998E-8</c:v>
                </c:pt>
                <c:pt idx="19">
                  <c:v>8.2774639999999993E-9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ADF-4B24-9964-6E12E1426F6A}"/>
            </c:ext>
          </c:extLst>
        </c:ser>
        <c:ser>
          <c:idx val="4"/>
          <c:order val="4"/>
          <c:tx>
            <c:strRef>
              <c:f>Output_f!$AA$1</c:f>
              <c:strCache>
                <c:ptCount val="1"/>
                <c:pt idx="0">
                  <c:v>Load=5.00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Output_f!$V$2:$V$21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Output_f!$AA$2:$AA$21</c:f>
              <c:numCache>
                <c:formatCode>General</c:formatCode>
                <c:ptCount val="20"/>
                <c:pt idx="0">
                  <c:v>0.83333333333333304</c:v>
                </c:pt>
                <c:pt idx="1">
                  <c:v>0.67567567567567599</c:v>
                </c:pt>
                <c:pt idx="2">
                  <c:v>0.52966101694915302</c:v>
                </c:pt>
                <c:pt idx="3">
                  <c:v>0.39834289356277902</c:v>
                </c:pt>
                <c:pt idx="4">
                  <c:v>0.28486782133090299</c:v>
                </c:pt>
                <c:pt idx="5">
                  <c:v>0.191847258886365</c:v>
                </c:pt>
                <c:pt idx="6">
                  <c:v>0.12051863507343</c:v>
                </c:pt>
                <c:pt idx="7">
                  <c:v>7.0047852209566996E-2</c:v>
                </c:pt>
                <c:pt idx="8">
                  <c:v>3.7457785974193997E-2</c:v>
                </c:pt>
                <c:pt idx="9">
                  <c:v>1.8384570336648001E-2</c:v>
                </c:pt>
                <c:pt idx="10">
                  <c:v>8.2873684673429992E-3</c:v>
                </c:pt>
                <c:pt idx="11">
                  <c:v>3.441187532623E-3</c:v>
                </c:pt>
                <c:pt idx="12">
                  <c:v>1.3217842404509999E-3</c:v>
                </c:pt>
                <c:pt idx="13">
                  <c:v>4.7184305919000002E-4</c:v>
                </c:pt>
                <c:pt idx="14">
                  <c:v>1.5725628630100001E-4</c:v>
                </c:pt>
                <c:pt idx="15">
                  <c:v>4.9140174593999997E-5</c:v>
                </c:pt>
                <c:pt idx="16">
                  <c:v>1.4452783642E-5</c:v>
                </c:pt>
                <c:pt idx="17">
                  <c:v>4.0146460050000004E-6</c:v>
                </c:pt>
                <c:pt idx="18">
                  <c:v>1.056484675E-6</c:v>
                </c:pt>
                <c:pt idx="19">
                  <c:v>2.6412109899999998E-7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ADF-4B24-9964-6E12E1426F6A}"/>
            </c:ext>
          </c:extLst>
        </c:ser>
        <c:ser>
          <c:idx val="5"/>
          <c:order val="5"/>
          <c:tx>
            <c:strRef>
              <c:f>Output_f!$AB$1</c:f>
              <c:strCache>
                <c:ptCount val="1"/>
                <c:pt idx="0">
                  <c:v>Load=6.00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Output_f!$V$2:$V$21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Output_f!$AB$2:$AB$21</c:f>
              <c:numCache>
                <c:formatCode>General</c:formatCode>
                <c:ptCount val="20"/>
                <c:pt idx="0">
                  <c:v>0.85714285714285698</c:v>
                </c:pt>
                <c:pt idx="1">
                  <c:v>0.72</c:v>
                </c:pt>
                <c:pt idx="2">
                  <c:v>0.59016393442623005</c:v>
                </c:pt>
                <c:pt idx="3">
                  <c:v>0.46956521739130402</c:v>
                </c:pt>
                <c:pt idx="4">
                  <c:v>0.36040044493882101</c:v>
                </c:pt>
                <c:pt idx="5">
                  <c:v>0.26492232215862599</c:v>
                </c:pt>
                <c:pt idx="6">
                  <c:v>0.18505473584007601</c:v>
                </c:pt>
                <c:pt idx="7">
                  <c:v>0.121875783666305</c:v>
                </c:pt>
                <c:pt idx="8">
                  <c:v>7.5144955546966E-2</c:v>
                </c:pt>
                <c:pt idx="9">
                  <c:v>4.3141838410438997E-2</c:v>
                </c:pt>
                <c:pt idx="10">
                  <c:v>2.2990892211139001E-2</c:v>
                </c:pt>
                <c:pt idx="11">
                  <c:v>1.1364802629442E-2</c:v>
                </c:pt>
                <c:pt idx="12">
                  <c:v>5.2179239784420003E-3</c:v>
                </c:pt>
                <c:pt idx="13">
                  <c:v>2.2312634637060001E-3</c:v>
                </c:pt>
                <c:pt idx="14">
                  <c:v>8.9170952992400005E-4</c:v>
                </c:pt>
                <c:pt idx="15">
                  <c:v>3.3427929370999999E-4</c:v>
                </c:pt>
                <c:pt idx="16">
                  <c:v>1.1796700933499999E-4</c:v>
                </c:pt>
                <c:pt idx="17">
                  <c:v>3.9320790258999999E-5</c:v>
                </c:pt>
                <c:pt idx="18">
                  <c:v>1.2416937479000001E-5</c:v>
                </c:pt>
                <c:pt idx="19">
                  <c:v>3.725067367E-6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ADF-4B24-9964-6E12E1426F6A}"/>
            </c:ext>
          </c:extLst>
        </c:ser>
        <c:ser>
          <c:idx val="6"/>
          <c:order val="6"/>
          <c:tx>
            <c:strRef>
              <c:f>Output_f!$AC$1</c:f>
              <c:strCache>
                <c:ptCount val="1"/>
                <c:pt idx="0">
                  <c:v>Load=7.00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Output_f!$V$2:$V$21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Output_f!$AC$2:$AC$21</c:f>
              <c:numCache>
                <c:formatCode>General</c:formatCode>
                <c:ptCount val="20"/>
                <c:pt idx="0">
                  <c:v>0.875</c:v>
                </c:pt>
                <c:pt idx="1">
                  <c:v>0.75384615384615405</c:v>
                </c:pt>
                <c:pt idx="2">
                  <c:v>0.63754646840148699</c:v>
                </c:pt>
                <c:pt idx="3">
                  <c:v>0.52734460795080196</c:v>
                </c:pt>
                <c:pt idx="4">
                  <c:v>0.42471949863539898</c:v>
                </c:pt>
                <c:pt idx="5">
                  <c:v>0.33133003455549598</c:v>
                </c:pt>
                <c:pt idx="6">
                  <c:v>0.24887144881856499</c:v>
                </c:pt>
                <c:pt idx="7">
                  <c:v>0.17882182654515399</c:v>
                </c:pt>
                <c:pt idx="8">
                  <c:v>0.122101343250098</c:v>
                </c:pt>
                <c:pt idx="9">
                  <c:v>7.8740882969570006E-2</c:v>
                </c:pt>
                <c:pt idx="10">
                  <c:v>4.7716846751528999E-2</c:v>
                </c:pt>
                <c:pt idx="11">
                  <c:v>2.7081031439272998E-2</c:v>
                </c:pt>
                <c:pt idx="12">
                  <c:v>1.4372512525383E-2</c:v>
                </c:pt>
                <c:pt idx="13">
                  <c:v>7.134982450373E-3</c:v>
                </c:pt>
                <c:pt idx="14">
                  <c:v>3.3186086434399999E-3</c:v>
                </c:pt>
                <c:pt idx="15">
                  <c:v>1.4497863493439999E-3</c:v>
                </c:pt>
                <c:pt idx="16">
                  <c:v>5.9661468815299995E-4</c:v>
                </c:pt>
                <c:pt idx="17">
                  <c:v>2.3196300385099999E-4</c:v>
                </c:pt>
                <c:pt idx="18">
                  <c:v>8.5452751254000002E-5</c:v>
                </c:pt>
                <c:pt idx="19">
                  <c:v>2.9907568448999999E-5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ADF-4B24-9964-6E12E1426F6A}"/>
            </c:ext>
          </c:extLst>
        </c:ser>
        <c:ser>
          <c:idx val="7"/>
          <c:order val="7"/>
          <c:tx>
            <c:strRef>
              <c:f>Output_f!$AD$1</c:f>
              <c:strCache>
                <c:ptCount val="1"/>
                <c:pt idx="0">
                  <c:v>Load=8.00</c:v>
                </c:pt>
              </c:strCache>
            </c:strRef>
          </c:tx>
          <c:spPr>
            <a:ln w="34925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Output_f!$V$2:$V$21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Output_f!$AD$2:$AD$21</c:f>
              <c:numCache>
                <c:formatCode>General</c:formatCode>
                <c:ptCount val="20"/>
                <c:pt idx="0">
                  <c:v>0.88888888888888895</c:v>
                </c:pt>
                <c:pt idx="1">
                  <c:v>0.78048780487804903</c:v>
                </c:pt>
                <c:pt idx="2">
                  <c:v>0.67546174142480198</c:v>
                </c:pt>
                <c:pt idx="3">
                  <c:v>0.57463524130190802</c:v>
                </c:pt>
                <c:pt idx="4">
                  <c:v>0.47900830312244203</c:v>
                </c:pt>
                <c:pt idx="5">
                  <c:v>0.38975188524395199</c:v>
                </c:pt>
                <c:pt idx="6">
                  <c:v>0.30816469996308798</c:v>
                </c:pt>
                <c:pt idx="7">
                  <c:v>0.23557026112368201</c:v>
                </c:pt>
                <c:pt idx="8">
                  <c:v>0.173140827677012</c:v>
                </c:pt>
                <c:pt idx="9">
                  <c:v>0.12166106425295201</c:v>
                </c:pt>
                <c:pt idx="10">
                  <c:v>8.1288320488031002E-2</c:v>
                </c:pt>
                <c:pt idx="11">
                  <c:v>5.1406387712357997E-2</c:v>
                </c:pt>
                <c:pt idx="12">
                  <c:v>3.0664633640837002E-2</c:v>
                </c:pt>
                <c:pt idx="13">
                  <c:v>1.7220892166617E-2</c:v>
                </c:pt>
                <c:pt idx="14">
                  <c:v>9.1008889278770006E-3</c:v>
                </c:pt>
                <c:pt idx="15">
                  <c:v>4.5298317162829997E-3</c:v>
                </c:pt>
                <c:pt idx="16">
                  <c:v>2.1271510963670002E-3</c:v>
                </c:pt>
                <c:pt idx="17">
                  <c:v>9.4450754937699998E-4</c:v>
                </c:pt>
                <c:pt idx="18">
                  <c:v>3.9752929682300003E-4</c:v>
                </c:pt>
                <c:pt idx="19">
                  <c:v>1.5898643802299999E-4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ADF-4B24-9964-6E12E1426F6A}"/>
            </c:ext>
          </c:extLst>
        </c:ser>
        <c:ser>
          <c:idx val="8"/>
          <c:order val="8"/>
          <c:tx>
            <c:strRef>
              <c:f>Output_f!$AE$1</c:f>
              <c:strCache>
                <c:ptCount val="1"/>
                <c:pt idx="0">
                  <c:v>Load=9.00</c:v>
                </c:pt>
              </c:strCache>
            </c:strRef>
          </c:tx>
          <c:spPr>
            <a:ln w="34925" cap="rnd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Output_f!$V$2:$V$21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Output_f!$AE$2:$AE$21</c:f>
              <c:numCache>
                <c:formatCode>General</c:formatCode>
                <c:ptCount val="20"/>
                <c:pt idx="0">
                  <c:v>0.9</c:v>
                </c:pt>
                <c:pt idx="1">
                  <c:v>0.80198019801980203</c:v>
                </c:pt>
                <c:pt idx="2">
                  <c:v>0.706395348837209</c:v>
                </c:pt>
                <c:pt idx="3">
                  <c:v>0.61380858826831297</c:v>
                </c:pt>
                <c:pt idx="4">
                  <c:v>0.52490799509307196</c:v>
                </c:pt>
                <c:pt idx="5">
                  <c:v>0.44051624454474297</c:v>
                </c:pt>
                <c:pt idx="6">
                  <c:v>0.36158450790471403</c:v>
                </c:pt>
                <c:pt idx="7">
                  <c:v>0.28915809711095802</c:v>
                </c:pt>
                <c:pt idx="8">
                  <c:v>0.224299950300099</c:v>
                </c:pt>
                <c:pt idx="9">
                  <c:v>0.167963226291587</c:v>
                </c:pt>
                <c:pt idx="10">
                  <c:v>0.120820734004337</c:v>
                </c:pt>
                <c:pt idx="11">
                  <c:v>8.3086611465827007E-2</c:v>
                </c:pt>
                <c:pt idx="12">
                  <c:v>5.4392747790201E-2</c:v>
                </c:pt>
                <c:pt idx="13">
                  <c:v>3.3785400237488002E-2</c:v>
                </c:pt>
                <c:pt idx="14">
                  <c:v>1.9868481385069001E-2</c:v>
                </c:pt>
                <c:pt idx="15">
                  <c:v>1.1052497833652E-2</c:v>
                </c:pt>
                <c:pt idx="16">
                  <c:v>5.8172835808990003E-3</c:v>
                </c:pt>
                <c:pt idx="17">
                  <c:v>2.9002061297000001E-3</c:v>
                </c:pt>
                <c:pt idx="18">
                  <c:v>1.3718971634860001E-3</c:v>
                </c:pt>
                <c:pt idx="19">
                  <c:v>6.16972833093E-4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ADF-4B24-9964-6E12E1426F6A}"/>
            </c:ext>
          </c:extLst>
        </c:ser>
        <c:ser>
          <c:idx val="9"/>
          <c:order val="9"/>
          <c:tx>
            <c:strRef>
              <c:f>Output_f!$AF$1</c:f>
              <c:strCache>
                <c:ptCount val="1"/>
                <c:pt idx="0">
                  <c:v>Load=10.00</c:v>
                </c:pt>
              </c:strCache>
            </c:strRef>
          </c:tx>
          <c:spPr>
            <a:ln w="34925" cap="rnd">
              <a:solidFill>
                <a:schemeClr val="accent4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Output_f!$V$2:$V$21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Output_f!$AF$2:$AF$21</c:f>
              <c:numCache>
                <c:formatCode>General</c:formatCode>
                <c:ptCount val="20"/>
                <c:pt idx="0">
                  <c:v>0.90909090909090895</c:v>
                </c:pt>
                <c:pt idx="1">
                  <c:v>0.81967213114754101</c:v>
                </c:pt>
                <c:pt idx="2">
                  <c:v>0.73206442166910701</c:v>
                </c:pt>
                <c:pt idx="3">
                  <c:v>0.64666321779617197</c:v>
                </c:pt>
                <c:pt idx="4">
                  <c:v>0.563952176855403</c:v>
                </c:pt>
                <c:pt idx="5">
                  <c:v>0.48451490367843703</c:v>
                </c:pt>
                <c:pt idx="6">
                  <c:v>0.40904078300222901</c:v>
                </c:pt>
                <c:pt idx="7">
                  <c:v>0.33831843288736702</c:v>
                </c:pt>
                <c:pt idx="8">
                  <c:v>0.273207943855374</c:v>
                </c:pt>
                <c:pt idx="9">
                  <c:v>0.214582343107348</c:v>
                </c:pt>
                <c:pt idx="10">
                  <c:v>0.16323233324443401</c:v>
                </c:pt>
                <c:pt idx="11">
                  <c:v>0.11973918844482501</c:v>
                </c:pt>
                <c:pt idx="12">
                  <c:v>8.4338862672366996E-2</c:v>
                </c:pt>
                <c:pt idx="13">
                  <c:v>5.6819143386520998E-2</c:v>
                </c:pt>
                <c:pt idx="14">
                  <c:v>3.6496945472370999E-2</c:v>
                </c:pt>
                <c:pt idx="15">
                  <c:v>2.2301872040364001E-2</c:v>
                </c:pt>
                <c:pt idx="16">
                  <c:v>1.2948875224726999E-2</c:v>
                </c:pt>
                <c:pt idx="17">
                  <c:v>7.1424381578999996E-3</c:v>
                </c:pt>
                <c:pt idx="18">
                  <c:v>3.7450994823430002E-3</c:v>
                </c:pt>
                <c:pt idx="19">
                  <c:v>1.8690498523539999E-3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ADF-4B24-9964-6E12E1426F6A}"/>
            </c:ext>
          </c:extLst>
        </c:ser>
        <c:ser>
          <c:idx val="10"/>
          <c:order val="10"/>
          <c:tx>
            <c:strRef>
              <c:f>Output_f!$AG$1</c:f>
              <c:strCache>
                <c:ptCount val="1"/>
                <c:pt idx="0">
                  <c:v>Load=11.00</c:v>
                </c:pt>
              </c:strCache>
            </c:strRef>
          </c:tx>
          <c:spPr>
            <a:ln w="34925" cap="rnd">
              <a:solidFill>
                <a:schemeClr val="accent5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Output_f!$V$2:$V$21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Output_f!$AG$2:$AG$21</c:f>
              <c:numCache>
                <c:formatCode>General</c:formatCode>
                <c:ptCount val="20"/>
                <c:pt idx="0">
                  <c:v>0.91666666666666696</c:v>
                </c:pt>
                <c:pt idx="1">
                  <c:v>0.83448275862068999</c:v>
                </c:pt>
                <c:pt idx="2">
                  <c:v>0.75368063420158604</c:v>
                </c:pt>
                <c:pt idx="3">
                  <c:v>0.67454503570605895</c:v>
                </c:pt>
                <c:pt idx="4">
                  <c:v>0.597423361130071</c:v>
                </c:pt>
                <c:pt idx="5">
                  <c:v>0.52273594378546995</c:v>
                </c:pt>
                <c:pt idx="6">
                  <c:v>0.450984499294034</c:v>
                </c:pt>
                <c:pt idx="7">
                  <c:v>0.38275555551492402</c:v>
                </c:pt>
                <c:pt idx="8">
                  <c:v>0.31871400116121001</c:v>
                </c:pt>
                <c:pt idx="9">
                  <c:v>0.25958032786801999</c:v>
                </c:pt>
                <c:pt idx="10">
                  <c:v>0.206084774527551</c:v>
                </c:pt>
                <c:pt idx="11">
                  <c:v>0.158894178314538</c:v>
                </c:pt>
                <c:pt idx="12">
                  <c:v>0.118514741147615</c:v>
                </c:pt>
                <c:pt idx="13">
                  <c:v>8.5186286760796995E-2</c:v>
                </c:pt>
                <c:pt idx="14">
                  <c:v>5.8796904326037E-2</c:v>
                </c:pt>
                <c:pt idx="15">
                  <c:v>3.8852348235254998E-2</c:v>
                </c:pt>
                <c:pt idx="16">
                  <c:v>2.4523246341982E-2</c:v>
                </c:pt>
                <c:pt idx="17">
                  <c:v>1.4765151436461999E-2</c:v>
                </c:pt>
                <c:pt idx="18">
                  <c:v>8.4757924135400002E-3</c:v>
                </c:pt>
                <c:pt idx="19">
                  <c:v>4.6400553471959999E-3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ADF-4B24-9964-6E12E1426F6A}"/>
            </c:ext>
          </c:extLst>
        </c:ser>
        <c:ser>
          <c:idx val="11"/>
          <c:order val="11"/>
          <c:tx>
            <c:strRef>
              <c:f>Output_f!$AH$1</c:f>
              <c:strCache>
                <c:ptCount val="1"/>
                <c:pt idx="0">
                  <c:v>Load=12.00</c:v>
                </c:pt>
              </c:strCache>
            </c:strRef>
          </c:tx>
          <c:spPr>
            <a:ln w="34925" cap="rnd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Output_f!$V$2:$V$21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Output_f!$AH$2:$AH$21</c:f>
              <c:numCache>
                <c:formatCode>General</c:formatCode>
                <c:ptCount val="20"/>
                <c:pt idx="0">
                  <c:v>0.92307692307692302</c:v>
                </c:pt>
                <c:pt idx="1">
                  <c:v>0.84705882352941197</c:v>
                </c:pt>
                <c:pt idx="2">
                  <c:v>0.77211796246648801</c:v>
                </c:pt>
                <c:pt idx="3">
                  <c:v>0.698464025869038</c:v>
                </c:pt>
                <c:pt idx="4">
                  <c:v>0.62635171872168205</c:v>
                </c:pt>
                <c:pt idx="5">
                  <c:v>0.55608892702941903</c:v>
                </c:pt>
                <c:pt idx="6">
                  <c:v>0.48804464014278598</c:v>
                </c:pt>
                <c:pt idx="7">
                  <c:v>0.42265511497526298</c:v>
                </c:pt>
                <c:pt idx="8">
                  <c:v>0.36042576336195797</c:v>
                </c:pt>
                <c:pt idx="9">
                  <c:v>0.30192504028638001</c:v>
                </c:pt>
                <c:pt idx="10">
                  <c:v>0.247765546543321</c:v>
                </c:pt>
                <c:pt idx="11">
                  <c:v>0.19856738890547501</c:v>
                </c:pt>
                <c:pt idx="12">
                  <c:v>0.15490075437252501</c:v>
                </c:pt>
                <c:pt idx="13">
                  <c:v>0.117209876625682</c:v>
                </c:pt>
                <c:pt idx="14">
                  <c:v>8.5729249495301002E-2</c:v>
                </c:pt>
                <c:pt idx="15">
                  <c:v>6.0412592462565001E-2</c:v>
                </c:pt>
                <c:pt idx="16">
                  <c:v>4.0900034367945003E-2</c:v>
                </c:pt>
                <c:pt idx="17">
                  <c:v>2.6542951168614999E-2</c:v>
                </c:pt>
                <c:pt idx="18">
                  <c:v>1.6487572010433001E-2</c:v>
                </c:pt>
                <c:pt idx="19">
                  <c:v>9.7956394200639993E-3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ADF-4B24-9964-6E12E1426F6A}"/>
            </c:ext>
          </c:extLst>
        </c:ser>
        <c:ser>
          <c:idx val="12"/>
          <c:order val="12"/>
          <c:tx>
            <c:strRef>
              <c:f>Output_f!$AI$1</c:f>
              <c:strCache>
                <c:ptCount val="1"/>
                <c:pt idx="0">
                  <c:v>Load=13.00</c:v>
                </c:pt>
              </c:strCache>
            </c:strRef>
          </c:tx>
          <c:spPr>
            <a:ln w="349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Output_f!$V$2:$V$21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Output_f!$AI$2:$AI$21</c:f>
              <c:numCache>
                <c:formatCode>General</c:formatCode>
                <c:ptCount val="20"/>
                <c:pt idx="0">
                  <c:v>0.92857142857142905</c:v>
                </c:pt>
                <c:pt idx="1">
                  <c:v>0.85786802030456899</c:v>
                </c:pt>
                <c:pt idx="2">
                  <c:v>0.78802008608321406</c:v>
                </c:pt>
                <c:pt idx="3">
                  <c:v>0.71918515347619205</c:v>
                </c:pt>
                <c:pt idx="4">
                  <c:v>0.65155354491820805</c:v>
                </c:pt>
                <c:pt idx="5">
                  <c:v>0.585354616814034</c:v>
                </c:pt>
                <c:pt idx="6">
                  <c:v>0.52086332276518899</c:v>
                </c:pt>
                <c:pt idx="7">
                  <c:v>0.45840639641848802</c:v>
                </c:pt>
                <c:pt idx="8">
                  <c:v>0.39836689314018497</c:v>
                </c:pt>
                <c:pt idx="9">
                  <c:v>0.34118507254566699</c:v>
                </c:pt>
                <c:pt idx="10">
                  <c:v>0.28735272395464401</c:v>
                </c:pt>
                <c:pt idx="11">
                  <c:v>0.237397294968231</c:v>
                </c:pt>
                <c:pt idx="12">
                  <c:v>0.19185212052231401</c:v>
                </c:pt>
                <c:pt idx="13">
                  <c:v>0.151210490958996</c:v>
                </c:pt>
                <c:pt idx="14">
                  <c:v>0.115865078777153</c:v>
                </c:pt>
                <c:pt idx="15">
                  <c:v>8.6040492178000999E-2</c:v>
                </c:pt>
                <c:pt idx="16">
                  <c:v>6.1733850409495E-2</c:v>
                </c:pt>
                <c:pt idx="17">
                  <c:v>4.2682534006686999E-2</c:v>
                </c:pt>
                <c:pt idx="18">
                  <c:v>2.8375175012909998E-2</c:v>
                </c:pt>
                <c:pt idx="19">
                  <c:v>1.8109848185768E-2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ADF-4B24-9964-6E12E1426F6A}"/>
            </c:ext>
          </c:extLst>
        </c:ser>
        <c:ser>
          <c:idx val="13"/>
          <c:order val="13"/>
          <c:tx>
            <c:strRef>
              <c:f>Output_f!$AJ$1</c:f>
              <c:strCache>
                <c:ptCount val="1"/>
                <c:pt idx="0">
                  <c:v>Load=14.00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Output_f!$V$2:$V$21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Output_f!$AJ$2:$AJ$21</c:f>
              <c:numCache>
                <c:formatCode>General</c:formatCode>
                <c:ptCount val="20"/>
                <c:pt idx="0">
                  <c:v>0.93333333333333302</c:v>
                </c:pt>
                <c:pt idx="1">
                  <c:v>0.86725663716814205</c:v>
                </c:pt>
                <c:pt idx="2">
                  <c:v>0.80187025131502099</c:v>
                </c:pt>
                <c:pt idx="3">
                  <c:v>0.73729464148625801</c:v>
                </c:pt>
                <c:pt idx="4">
                  <c:v>0.67367450622789204</c:v>
                </c:pt>
                <c:pt idx="5">
                  <c:v>0.61118347998311595</c:v>
                </c:pt>
                <c:pt idx="6">
                  <c:v>0.55002930748430701</c:v>
                </c:pt>
                <c:pt idx="7">
                  <c:v>0.49045917624431501</c:v>
                </c:pt>
                <c:pt idx="8">
                  <c:v>0.43276459358952202</c:v>
                </c:pt>
                <c:pt idx="9">
                  <c:v>0.37728475431139802</c:v>
                </c:pt>
                <c:pt idx="10">
                  <c:v>0.32440676331346402</c:v>
                </c:pt>
                <c:pt idx="11">
                  <c:v>0.27456042276766701</c:v>
                </c:pt>
                <c:pt idx="12">
                  <c:v>0.22820476613770899</c:v>
                </c:pt>
                <c:pt idx="13">
                  <c:v>0.185803517808627</c:v>
                </c:pt>
                <c:pt idx="14">
                  <c:v>0.14778776281582201</c:v>
                </c:pt>
                <c:pt idx="15">
                  <c:v>0.114506912138442</c:v>
                </c:pt>
                <c:pt idx="16">
                  <c:v>8.6173651073445004E-2</c:v>
                </c:pt>
                <c:pt idx="17">
                  <c:v>6.2813914141718996E-2</c:v>
                </c:pt>
                <c:pt idx="18">
                  <c:v>4.4236497484986002E-2</c:v>
                </c:pt>
                <c:pt idx="19">
                  <c:v>3.0035483040502998E-2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ADF-4B24-9964-6E12E1426F6A}"/>
            </c:ext>
          </c:extLst>
        </c:ser>
        <c:ser>
          <c:idx val="14"/>
          <c:order val="14"/>
          <c:tx>
            <c:strRef>
              <c:f>Output_f!$AK$1</c:f>
              <c:strCache>
                <c:ptCount val="1"/>
                <c:pt idx="0">
                  <c:v>Load=15.00</c:v>
                </c:pt>
              </c:strCache>
            </c:strRef>
          </c:tx>
          <c:spPr>
            <a:ln w="349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Output_f!$V$2:$V$21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Output_f!$AK$2:$AK$21</c:f>
              <c:numCache>
                <c:formatCode>General</c:formatCode>
                <c:ptCount val="20"/>
                <c:pt idx="0">
                  <c:v>0.9375</c:v>
                </c:pt>
                <c:pt idx="1">
                  <c:v>0.87548638132295697</c:v>
                </c:pt>
                <c:pt idx="2">
                  <c:v>0.814037626628075</c:v>
                </c:pt>
                <c:pt idx="3">
                  <c:v>0.75324733294648005</c:v>
                </c:pt>
                <c:pt idx="4">
                  <c:v>0.69322725529933704</c:v>
                </c:pt>
                <c:pt idx="5">
                  <c:v>0.63411084194889</c:v>
                </c:pt>
                <c:pt idx="6">
                  <c:v>0.57605722953624705</c:v>
                </c:pt>
                <c:pt idx="7">
                  <c:v>0.51925557041534698</c:v>
                </c:pt>
                <c:pt idx="8">
                  <c:v>0.46392940463334498</c:v>
                </c:pt>
                <c:pt idx="9">
                  <c:v>0.41034054195845399</c:v>
                </c:pt>
                <c:pt idx="10">
                  <c:v>0.35879156709229099</c:v>
                </c:pt>
                <c:pt idx="11">
                  <c:v>0.30962562835402102</c:v>
                </c:pt>
                <c:pt idx="12">
                  <c:v>0.26322167514374101</c:v>
                </c:pt>
                <c:pt idx="13">
                  <c:v>0.21998292872365199</c:v>
                </c:pt>
                <c:pt idx="14">
                  <c:v>0.18031639914322301</c:v>
                </c:pt>
                <c:pt idx="15">
                  <c:v>0.14460212338658401</c:v>
                </c:pt>
                <c:pt idx="16">
                  <c:v>0.11315291599916601</c:v>
                </c:pt>
                <c:pt idx="17">
                  <c:v>8.6168879968612999E-2</c:v>
                </c:pt>
                <c:pt idx="18">
                  <c:v>6.3695014654905999E-2</c:v>
                </c:pt>
                <c:pt idx="19">
                  <c:v>4.5593215589811997E-2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ADF-4B24-9964-6E12E1426F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5399599"/>
        <c:axId val="665395439"/>
      </c:lineChart>
      <c:catAx>
        <c:axId val="66539959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Trunks</a:t>
                </a:r>
              </a:p>
            </c:rich>
          </c:tx>
          <c:layout>
            <c:manualLayout>
              <c:xMode val="edge"/>
              <c:yMode val="edge"/>
              <c:x val="0.48030624168576241"/>
              <c:y val="7.3268415412570509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395439"/>
        <c:crosses val="autoZero"/>
        <c:auto val="1"/>
        <c:lblAlgn val="ctr"/>
        <c:lblOffset val="100"/>
        <c:noMultiLvlLbl val="0"/>
      </c:catAx>
      <c:valAx>
        <c:axId val="665395439"/>
        <c:scaling>
          <c:logBase val="10"/>
          <c:orientation val="minMax"/>
          <c:min val="1.0000000000000004E-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Blocking Probability (Pb)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399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Absolute Difference (Model vs. Experimental)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Output_f!$W$24</c:f>
              <c:strCache>
                <c:ptCount val="1"/>
                <c:pt idx="0">
                  <c:v>Load=1.00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Output_f!$V$25:$V$44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Output_f!$W$25:$W$44</c:f>
              <c:numCache>
                <c:formatCode>General</c:formatCode>
                <c:ptCount val="20"/>
                <c:pt idx="0">
                  <c:v>9.2041839964973615E-5</c:v>
                </c:pt>
                <c:pt idx="1">
                  <c:v>-1.0419809550399339E-4</c:v>
                </c:pt>
                <c:pt idx="2">
                  <c:v>4.4958339319001173E-5</c:v>
                </c:pt>
                <c:pt idx="3">
                  <c:v>-5.1368004869989381E-6</c:v>
                </c:pt>
                <c:pt idx="4">
                  <c:v>4.0318665839996978E-6</c:v>
                </c:pt>
                <c:pt idx="5">
                  <c:v>2.8779019800000008E-6</c:v>
                </c:pt>
                <c:pt idx="6">
                  <c:v>-4.3522030300000947E-7</c:v>
                </c:pt>
                <c:pt idx="7">
                  <c:v>7.9074084199999961E-7</c:v>
                </c:pt>
                <c:pt idx="8">
                  <c:v>2.4711130000000005E-7</c:v>
                </c:pt>
                <c:pt idx="9">
                  <c:v>-1.3195550699999998E-7</c:v>
                </c:pt>
                <c:pt idx="10">
                  <c:v>9.2161559999999997E-9</c:v>
                </c:pt>
                <c:pt idx="11">
                  <c:v>7.6801300000000004E-10</c:v>
                </c:pt>
                <c:pt idx="12">
                  <c:v>5.9078E-11</c:v>
                </c:pt>
                <c:pt idx="13">
                  <c:v>4.2200000000000002E-12</c:v>
                </c:pt>
                <c:pt idx="14">
                  <c:v>2.8100000000000001E-13</c:v>
                </c:pt>
                <c:pt idx="15">
                  <c:v>1.7999999999999999E-14</c:v>
                </c:pt>
                <c:pt idx="16">
                  <c:v>1.0000000000000001E-15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34-442E-BE5C-F41F3B71A2E7}"/>
            </c:ext>
          </c:extLst>
        </c:ser>
        <c:ser>
          <c:idx val="1"/>
          <c:order val="1"/>
          <c:tx>
            <c:strRef>
              <c:f>Output_f!$X$24</c:f>
              <c:strCache>
                <c:ptCount val="1"/>
                <c:pt idx="0">
                  <c:v>Load=2.00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Output_f!$V$25:$V$44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Output_f!$X$25:$X$44</c:f>
              <c:numCache>
                <c:formatCode>General</c:formatCode>
                <c:ptCount val="20"/>
                <c:pt idx="0">
                  <c:v>3.9025027469552498E-6</c:v>
                </c:pt>
                <c:pt idx="1">
                  <c:v>-1.1416797898899933E-4</c:v>
                </c:pt>
                <c:pt idx="2">
                  <c:v>-6.3943506490027335E-6</c:v>
                </c:pt>
                <c:pt idx="3">
                  <c:v>2.26676802959902E-5</c:v>
                </c:pt>
                <c:pt idx="4">
                  <c:v>-5.1238337007999957E-5</c:v>
                </c:pt>
                <c:pt idx="5">
                  <c:v>3.5871140778000188E-5</c:v>
                </c:pt>
                <c:pt idx="6">
                  <c:v>1.248892436699978E-5</c:v>
                </c:pt>
                <c:pt idx="7">
                  <c:v>1.0397737992000073E-5</c:v>
                </c:pt>
                <c:pt idx="8">
                  <c:v>5.6108355000000451E-7</c:v>
                </c:pt>
                <c:pt idx="9">
                  <c:v>1.158216748999999E-6</c:v>
                </c:pt>
                <c:pt idx="10">
                  <c:v>1.3769845040000002E-6</c:v>
                </c:pt>
                <c:pt idx="11">
                  <c:v>2.3936588000000052E-8</c:v>
                </c:pt>
                <c:pt idx="12">
                  <c:v>4.4707973999999991E-8</c:v>
                </c:pt>
                <c:pt idx="13">
                  <c:v>-7.8988609999999988E-9</c:v>
                </c:pt>
                <c:pt idx="14">
                  <c:v>3.3912619999999999E-9</c:v>
                </c:pt>
                <c:pt idx="15">
                  <c:v>4.2390800000000002E-10</c:v>
                </c:pt>
                <c:pt idx="16">
                  <c:v>4.9872000000000002E-11</c:v>
                </c:pt>
                <c:pt idx="17">
                  <c:v>5.5409999999999999E-12</c:v>
                </c:pt>
                <c:pt idx="18">
                  <c:v>5.8300000000000004E-13</c:v>
                </c:pt>
                <c:pt idx="19">
                  <c:v>5.8000000000000005E-14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C34-442E-BE5C-F41F3B71A2E7}"/>
            </c:ext>
          </c:extLst>
        </c:ser>
        <c:ser>
          <c:idx val="2"/>
          <c:order val="2"/>
          <c:tx>
            <c:strRef>
              <c:f>Output_f!$Y$24</c:f>
              <c:strCache>
                <c:ptCount val="1"/>
                <c:pt idx="0">
                  <c:v>Load=3.00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Output_f!$V$25:$V$44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Output_f!$Y$25:$Y$44</c:f>
              <c:numCache>
                <c:formatCode>General</c:formatCode>
                <c:ptCount val="20"/>
                <c:pt idx="0">
                  <c:v>5.1030649677041851E-5</c:v>
                </c:pt>
                <c:pt idx="1">
                  <c:v>-1.0099626799320305E-6</c:v>
                </c:pt>
                <c:pt idx="2">
                  <c:v>1.7140868282972122E-5</c:v>
                </c:pt>
                <c:pt idx="3">
                  <c:v>1.0687151774499415E-4</c:v>
                </c:pt>
                <c:pt idx="4">
                  <c:v>6.1820332169004732E-5</c:v>
                </c:pt>
                <c:pt idx="5">
                  <c:v>5.7509806069000469E-5</c:v>
                </c:pt>
                <c:pt idx="6">
                  <c:v>3.9316046660999027E-5</c:v>
                </c:pt>
                <c:pt idx="7">
                  <c:v>1.7696888060999075E-5</c:v>
                </c:pt>
                <c:pt idx="8">
                  <c:v>1.1337121600014932E-7</c:v>
                </c:pt>
                <c:pt idx="9">
                  <c:v>1.0795037378999927E-5</c:v>
                </c:pt>
                <c:pt idx="10">
                  <c:v>-9.513920823000019E-6</c:v>
                </c:pt>
                <c:pt idx="11">
                  <c:v>-4.9174052499999601E-7</c:v>
                </c:pt>
                <c:pt idx="12">
                  <c:v>1.1400973499999951E-7</c:v>
                </c:pt>
                <c:pt idx="13">
                  <c:v>6.9820237600000009E-7</c:v>
                </c:pt>
                <c:pt idx="14">
                  <c:v>3.4630588099999997E-7</c:v>
                </c:pt>
                <c:pt idx="15">
                  <c:v>3.5765689000000001E-8</c:v>
                </c:pt>
                <c:pt idx="16">
                  <c:v>-1.5257024000000003E-8</c:v>
                </c:pt>
                <c:pt idx="17">
                  <c:v>3.012715E-9</c:v>
                </c:pt>
                <c:pt idx="18">
                  <c:v>4.7569199999999995E-10</c:v>
                </c:pt>
                <c:pt idx="19">
                  <c:v>7.1354E-11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C34-442E-BE5C-F41F3B71A2E7}"/>
            </c:ext>
          </c:extLst>
        </c:ser>
        <c:ser>
          <c:idx val="3"/>
          <c:order val="3"/>
          <c:tx>
            <c:strRef>
              <c:f>Output_f!$Z$24</c:f>
              <c:strCache>
                <c:ptCount val="1"/>
                <c:pt idx="0">
                  <c:v>Load=4.00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Output_f!$V$25:$V$44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Output_f!$Z$25:$Z$44</c:f>
              <c:numCache>
                <c:formatCode>General</c:formatCode>
                <c:ptCount val="20"/>
                <c:pt idx="0">
                  <c:v>-3.192000465990219E-5</c:v>
                </c:pt>
                <c:pt idx="1">
                  <c:v>4.761854186963177E-6</c:v>
                </c:pt>
                <c:pt idx="2">
                  <c:v>1.6896297272800398E-4</c:v>
                </c:pt>
                <c:pt idx="3">
                  <c:v>-8.1301405784994785E-5</c:v>
                </c:pt>
                <c:pt idx="4">
                  <c:v>2.3599720743699981E-4</c:v>
                </c:pt>
                <c:pt idx="5">
                  <c:v>2.9755702883993429E-5</c:v>
                </c:pt>
                <c:pt idx="6">
                  <c:v>-1.2275864195998576E-5</c:v>
                </c:pt>
                <c:pt idx="7">
                  <c:v>4.041161722399822E-5</c:v>
                </c:pt>
                <c:pt idx="8">
                  <c:v>3.1836607049999174E-5</c:v>
                </c:pt>
                <c:pt idx="9">
                  <c:v>-6.8879302099998652E-6</c:v>
                </c:pt>
                <c:pt idx="10">
                  <c:v>1.3334622585000093E-5</c:v>
                </c:pt>
                <c:pt idx="11">
                  <c:v>5.5931954930000692E-6</c:v>
                </c:pt>
                <c:pt idx="12">
                  <c:v>5.4232197600000251E-7</c:v>
                </c:pt>
                <c:pt idx="13">
                  <c:v>-1.8987565959999975E-6</c:v>
                </c:pt>
                <c:pt idx="14">
                  <c:v>-4.272330770000012E-7</c:v>
                </c:pt>
                <c:pt idx="15">
                  <c:v>-4.0200327000000077E-8</c:v>
                </c:pt>
                <c:pt idx="16">
                  <c:v>2.8465470700000003E-7</c:v>
                </c:pt>
                <c:pt idx="17">
                  <c:v>1.2992315200000001E-7</c:v>
                </c:pt>
                <c:pt idx="18">
                  <c:v>8.0540119999999977E-9</c:v>
                </c:pt>
                <c:pt idx="19">
                  <c:v>8.2774639999999993E-9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C34-442E-BE5C-F41F3B71A2E7}"/>
            </c:ext>
          </c:extLst>
        </c:ser>
        <c:ser>
          <c:idx val="4"/>
          <c:order val="4"/>
          <c:tx>
            <c:strRef>
              <c:f>Output_f!$AA$24</c:f>
              <c:strCache>
                <c:ptCount val="1"/>
                <c:pt idx="0">
                  <c:v>Load=5.00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Output_f!$V$25:$V$44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Output_f!$AA$25:$AA$44</c:f>
              <c:numCache>
                <c:formatCode>General</c:formatCode>
                <c:ptCount val="20"/>
                <c:pt idx="0">
                  <c:v>1.9429222528066781E-5</c:v>
                </c:pt>
                <c:pt idx="1">
                  <c:v>-5.5673169236047926E-5</c:v>
                </c:pt>
                <c:pt idx="2">
                  <c:v>5.6820320770034627E-5</c:v>
                </c:pt>
                <c:pt idx="3">
                  <c:v>-6.7352971325984612E-5</c:v>
                </c:pt>
                <c:pt idx="4">
                  <c:v>1.1406196749297326E-4</c:v>
                </c:pt>
                <c:pt idx="5">
                  <c:v>-1.0831990722992568E-5</c:v>
                </c:pt>
                <c:pt idx="6">
                  <c:v>1.1696470650995883E-5</c:v>
                </c:pt>
                <c:pt idx="7">
                  <c:v>9.3803583474993957E-5</c:v>
                </c:pt>
                <c:pt idx="8">
                  <c:v>6.4786374600993291E-5</c:v>
                </c:pt>
                <c:pt idx="9">
                  <c:v>2.0145679005000722E-5</c:v>
                </c:pt>
                <c:pt idx="10">
                  <c:v>2.3401783283999444E-5</c:v>
                </c:pt>
                <c:pt idx="11">
                  <c:v>3.0992780276000147E-5</c:v>
                </c:pt>
                <c:pt idx="12">
                  <c:v>1.5161187603999907E-5</c:v>
                </c:pt>
                <c:pt idx="13">
                  <c:v>-2.6979597719999581E-6</c:v>
                </c:pt>
                <c:pt idx="14">
                  <c:v>-1.185118544999998E-6</c:v>
                </c:pt>
                <c:pt idx="15">
                  <c:v>-2.906670820000028E-7</c:v>
                </c:pt>
                <c:pt idx="16">
                  <c:v>-7.1364943500000096E-7</c:v>
                </c:pt>
                <c:pt idx="17">
                  <c:v>-4.8533126799999975E-7</c:v>
                </c:pt>
                <c:pt idx="18">
                  <c:v>1.2315278799999999E-7</c:v>
                </c:pt>
                <c:pt idx="19">
                  <c:v>6.4121265999999981E-8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C34-442E-BE5C-F41F3B71A2E7}"/>
            </c:ext>
          </c:extLst>
        </c:ser>
        <c:ser>
          <c:idx val="5"/>
          <c:order val="5"/>
          <c:tx>
            <c:strRef>
              <c:f>Output_f!$AB$24</c:f>
              <c:strCache>
                <c:ptCount val="1"/>
                <c:pt idx="0">
                  <c:v>Load=6.00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Output_f!$V$25:$V$44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Output_f!$AB$25:$AB$44</c:f>
              <c:numCache>
                <c:formatCode>General</c:formatCode>
                <c:ptCount val="20"/>
                <c:pt idx="0">
                  <c:v>1.4289418133972553E-5</c:v>
                </c:pt>
                <c:pt idx="1">
                  <c:v>-9.5124739940555258E-6</c:v>
                </c:pt>
                <c:pt idx="2">
                  <c:v>-4.5585532423952912E-5</c:v>
                </c:pt>
                <c:pt idx="3">
                  <c:v>1.4586440200803352E-4</c:v>
                </c:pt>
                <c:pt idx="4">
                  <c:v>4.331157242198902E-5</c:v>
                </c:pt>
                <c:pt idx="5">
                  <c:v>-5.5803081215000105E-5</c:v>
                </c:pt>
                <c:pt idx="6">
                  <c:v>2.3498045237019261E-5</c:v>
                </c:pt>
                <c:pt idx="7">
                  <c:v>3.290452391799259E-5</c:v>
                </c:pt>
                <c:pt idx="8">
                  <c:v>8.5054696345995828E-5</c:v>
                </c:pt>
                <c:pt idx="9">
                  <c:v>-1.5718444916004715E-5</c:v>
                </c:pt>
                <c:pt idx="10">
                  <c:v>-3.6110924665998939E-5</c:v>
                </c:pt>
                <c:pt idx="11">
                  <c:v>5.850357377500115E-5</c:v>
                </c:pt>
                <c:pt idx="12">
                  <c:v>9.2012050870006815E-6</c:v>
                </c:pt>
                <c:pt idx="13">
                  <c:v>-2.8981559529999562E-6</c:v>
                </c:pt>
                <c:pt idx="14">
                  <c:v>6.5610173130000804E-6</c:v>
                </c:pt>
                <c:pt idx="15">
                  <c:v>-1.0412265509999845E-6</c:v>
                </c:pt>
                <c:pt idx="16">
                  <c:v>2.8091633100000104E-7</c:v>
                </c:pt>
                <c:pt idx="17">
                  <c:v>-9.7755110300000079E-7</c:v>
                </c:pt>
                <c:pt idx="18">
                  <c:v>-1.549526063999999E-6</c:v>
                </c:pt>
                <c:pt idx="19">
                  <c:v>-1.0082403560000002E-6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C34-442E-BE5C-F41F3B71A2E7}"/>
            </c:ext>
          </c:extLst>
        </c:ser>
        <c:ser>
          <c:idx val="6"/>
          <c:order val="6"/>
          <c:tx>
            <c:strRef>
              <c:f>Output_f!$AC$24</c:f>
              <c:strCache>
                <c:ptCount val="1"/>
                <c:pt idx="0">
                  <c:v>Load=7.00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Output_f!$V$25:$V$44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Output_f!$AC$25:$AC$44</c:f>
              <c:numCache>
                <c:formatCode>General</c:formatCode>
                <c:ptCount val="20"/>
                <c:pt idx="0">
                  <c:v>-4.0924228890126813E-6</c:v>
                </c:pt>
                <c:pt idx="1">
                  <c:v>-2.7615389623925068E-5</c:v>
                </c:pt>
                <c:pt idx="2">
                  <c:v>6.1137403969957482E-5</c:v>
                </c:pt>
                <c:pt idx="3">
                  <c:v>5.502234629495284E-5</c:v>
                </c:pt>
                <c:pt idx="4">
                  <c:v>9.6888809288986355E-5</c:v>
                </c:pt>
                <c:pt idx="5">
                  <c:v>8.6926025574973753E-5</c:v>
                </c:pt>
                <c:pt idx="6">
                  <c:v>6.4158954837995053E-5</c:v>
                </c:pt>
                <c:pt idx="7">
                  <c:v>-2.9427993249009354E-5</c:v>
                </c:pt>
                <c:pt idx="8">
                  <c:v>-5.6437029316999676E-5</c:v>
                </c:pt>
                <c:pt idx="9">
                  <c:v>-9.2002751971992369E-5</c:v>
                </c:pt>
                <c:pt idx="10">
                  <c:v>-7.3743434291000109E-5</c:v>
                </c:pt>
                <c:pt idx="11">
                  <c:v>4.0112370039997042E-5</c:v>
                </c:pt>
                <c:pt idx="12">
                  <c:v>2.1576750488000451E-5</c:v>
                </c:pt>
                <c:pt idx="13">
                  <c:v>3.2133622275999987E-5</c:v>
                </c:pt>
                <c:pt idx="14">
                  <c:v>-7.522112329000092E-6</c:v>
                </c:pt>
                <c:pt idx="15">
                  <c:v>-1.1706416940000103E-6</c:v>
                </c:pt>
                <c:pt idx="16">
                  <c:v>-9.9414751900009195E-7</c:v>
                </c:pt>
                <c:pt idx="17">
                  <c:v>-4.880745576000021E-6</c:v>
                </c:pt>
                <c:pt idx="18">
                  <c:v>-2.772704749999996E-6</c:v>
                </c:pt>
                <c:pt idx="19">
                  <c:v>-6.9146882100000375E-7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C34-442E-BE5C-F41F3B71A2E7}"/>
            </c:ext>
          </c:extLst>
        </c:ser>
        <c:ser>
          <c:idx val="7"/>
          <c:order val="7"/>
          <c:tx>
            <c:strRef>
              <c:f>Output_f!$AD$24</c:f>
              <c:strCache>
                <c:ptCount val="1"/>
                <c:pt idx="0">
                  <c:v>Load=8.00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Output_f!$V$25:$V$44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Output_f!$AD$25:$AD$44</c:f>
              <c:numCache>
                <c:formatCode>General</c:formatCode>
                <c:ptCount val="20"/>
                <c:pt idx="0">
                  <c:v>3.5537466675950036E-5</c:v>
                </c:pt>
                <c:pt idx="1">
                  <c:v>8.173522735077654E-6</c:v>
                </c:pt>
                <c:pt idx="2">
                  <c:v>1.2345130147795036E-4</c:v>
                </c:pt>
                <c:pt idx="3">
                  <c:v>5.5560666713971862E-5</c:v>
                </c:pt>
                <c:pt idx="4">
                  <c:v>8.7134536037036803E-5</c:v>
                </c:pt>
                <c:pt idx="5">
                  <c:v>6.0848793071999197E-5</c:v>
                </c:pt>
                <c:pt idx="6">
                  <c:v>-3.6111716079034739E-5</c:v>
                </c:pt>
                <c:pt idx="7">
                  <c:v>3.6445258537021186E-5</c:v>
                </c:pt>
                <c:pt idx="8">
                  <c:v>1.2260285784992941E-5</c:v>
                </c:pt>
                <c:pt idx="9">
                  <c:v>-9.2726599421999456E-5</c:v>
                </c:pt>
                <c:pt idx="10">
                  <c:v>-9.8950783385995389E-5</c:v>
                </c:pt>
                <c:pt idx="11">
                  <c:v>2.8035548746994932E-5</c:v>
                </c:pt>
                <c:pt idx="12">
                  <c:v>1.6284954102000621E-5</c:v>
                </c:pt>
                <c:pt idx="13">
                  <c:v>4.8013052939999135E-5</c:v>
                </c:pt>
                <c:pt idx="14">
                  <c:v>6.6035533111000536E-5</c:v>
                </c:pt>
                <c:pt idx="15">
                  <c:v>9.3946661200005471E-7</c:v>
                </c:pt>
                <c:pt idx="16">
                  <c:v>7.7207852130002121E-6</c:v>
                </c:pt>
                <c:pt idx="17">
                  <c:v>1.2510861368999972E-5</c:v>
                </c:pt>
                <c:pt idx="18">
                  <c:v>7.2056147900001954E-7</c:v>
                </c:pt>
                <c:pt idx="19">
                  <c:v>-5.5863244480000118E-6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C34-442E-BE5C-F41F3B71A2E7}"/>
            </c:ext>
          </c:extLst>
        </c:ser>
        <c:ser>
          <c:idx val="8"/>
          <c:order val="8"/>
          <c:tx>
            <c:strRef>
              <c:f>Output_f!$AE$24</c:f>
              <c:strCache>
                <c:ptCount val="1"/>
                <c:pt idx="0">
                  <c:v>Load=9.00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Output_f!$V$25:$V$44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Output_f!$AE$25:$AE$44</c:f>
              <c:numCache>
                <c:formatCode>General</c:formatCode>
                <c:ptCount val="20"/>
                <c:pt idx="0">
                  <c:v>-2.7471442471949103E-5</c:v>
                </c:pt>
                <c:pt idx="1">
                  <c:v>3.1596454400650842E-6</c:v>
                </c:pt>
                <c:pt idx="2">
                  <c:v>-1.1769899100011472E-5</c:v>
                </c:pt>
                <c:pt idx="3">
                  <c:v>5.1505464779832977E-6</c:v>
                </c:pt>
                <c:pt idx="4">
                  <c:v>-9.9149802830211797E-6</c:v>
                </c:pt>
                <c:pt idx="5">
                  <c:v>-1.5394315905803424E-4</c:v>
                </c:pt>
                <c:pt idx="6">
                  <c:v>-6.8087135012995237E-5</c:v>
                </c:pt>
                <c:pt idx="7">
                  <c:v>-3.8585906966981387E-5</c:v>
                </c:pt>
                <c:pt idx="8">
                  <c:v>7.0443119621010908E-5</c:v>
                </c:pt>
                <c:pt idx="9">
                  <c:v>1.9240537341000397E-4</c:v>
                </c:pt>
                <c:pt idx="10">
                  <c:v>8.1896062622002774E-5</c:v>
                </c:pt>
                <c:pt idx="11">
                  <c:v>-7.0368374855994675E-5</c:v>
                </c:pt>
                <c:pt idx="12">
                  <c:v>-4.4608096658002583E-5</c:v>
                </c:pt>
                <c:pt idx="13">
                  <c:v>-1.0486463836399673E-4</c:v>
                </c:pt>
                <c:pt idx="14">
                  <c:v>3.0031544694001516E-5</c:v>
                </c:pt>
                <c:pt idx="15">
                  <c:v>3.7521982646998922E-5</c:v>
                </c:pt>
                <c:pt idx="16">
                  <c:v>1.9502224294000274E-5</c:v>
                </c:pt>
                <c:pt idx="17">
                  <c:v>9.0597248470001938E-6</c:v>
                </c:pt>
                <c:pt idx="18">
                  <c:v>-6.1999191339999482E-6</c:v>
                </c:pt>
                <c:pt idx="19">
                  <c:v>-1.9121717616999985E-5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C34-442E-BE5C-F41F3B71A2E7}"/>
            </c:ext>
          </c:extLst>
        </c:ser>
        <c:ser>
          <c:idx val="9"/>
          <c:order val="9"/>
          <c:tx>
            <c:strRef>
              <c:f>Output_f!$AF$24</c:f>
              <c:strCache>
                <c:ptCount val="1"/>
                <c:pt idx="0">
                  <c:v>Load=10.00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Output_f!$V$25:$V$44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Output_f!$AF$25:$AF$44</c:f>
              <c:numCache>
                <c:formatCode>General</c:formatCode>
                <c:ptCount val="20"/>
                <c:pt idx="0">
                  <c:v>9.4733104178956751E-6</c:v>
                </c:pt>
                <c:pt idx="1">
                  <c:v>-1.9985146550993704E-5</c:v>
                </c:pt>
                <c:pt idx="2">
                  <c:v>2.1382613836995468E-5</c:v>
                </c:pt>
                <c:pt idx="3">
                  <c:v>-1.3474988260986365E-5</c:v>
                </c:pt>
                <c:pt idx="4">
                  <c:v>9.305256991598565E-5</c:v>
                </c:pt>
                <c:pt idx="5">
                  <c:v>5.8857620867047711E-5</c:v>
                </c:pt>
                <c:pt idx="6">
                  <c:v>-1.2938134277296065E-4</c:v>
                </c:pt>
                <c:pt idx="7">
                  <c:v>1.7472883293601082E-4</c:v>
                </c:pt>
                <c:pt idx="8">
                  <c:v>-6.8820788040047098E-6</c:v>
                </c:pt>
                <c:pt idx="9">
                  <c:v>1.4209871156001253E-4</c:v>
                </c:pt>
                <c:pt idx="10">
                  <c:v>-7.2901672109881854E-6</c:v>
                </c:pt>
                <c:pt idx="11">
                  <c:v>-3.6868098279990713E-5</c:v>
                </c:pt>
                <c:pt idx="12">
                  <c:v>1.0249526562799982E-4</c:v>
                </c:pt>
                <c:pt idx="13">
                  <c:v>-2.4186182707004733E-5</c:v>
                </c:pt>
                <c:pt idx="14">
                  <c:v>5.1711700310014264E-6</c:v>
                </c:pt>
                <c:pt idx="15">
                  <c:v>-6.7356012809979826E-6</c:v>
                </c:pt>
                <c:pt idx="16">
                  <c:v>-2.0684127595000518E-5</c:v>
                </c:pt>
                <c:pt idx="17">
                  <c:v>1.8856084749999807E-5</c:v>
                </c:pt>
                <c:pt idx="18">
                  <c:v>-1.196113251199964E-5</c:v>
                </c:pt>
                <c:pt idx="19">
                  <c:v>3.1399453659999854E-6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C34-442E-BE5C-F41F3B71A2E7}"/>
            </c:ext>
          </c:extLst>
        </c:ser>
        <c:ser>
          <c:idx val="10"/>
          <c:order val="10"/>
          <c:tx>
            <c:strRef>
              <c:f>Output_f!$AG$24</c:f>
              <c:strCache>
                <c:ptCount val="1"/>
                <c:pt idx="0">
                  <c:v>Load=11.00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Output_f!$V$25:$V$44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Output_f!$AG$25:$AG$44</c:f>
              <c:numCache>
                <c:formatCode>General</c:formatCode>
                <c:ptCount val="20"/>
                <c:pt idx="0">
                  <c:v>2.9696499879161564E-6</c:v>
                </c:pt>
                <c:pt idx="1">
                  <c:v>-1.4899668744017269E-5</c:v>
                </c:pt>
                <c:pt idx="2">
                  <c:v>4.4011884177019844E-5</c:v>
                </c:pt>
                <c:pt idx="3">
                  <c:v>1.6764319968198826E-4</c:v>
                </c:pt>
                <c:pt idx="4">
                  <c:v>-4.4886349365058642E-5</c:v>
                </c:pt>
                <c:pt idx="5">
                  <c:v>-8.556563365902381E-5</c:v>
                </c:pt>
                <c:pt idx="6">
                  <c:v>8.146478457199402E-5</c:v>
                </c:pt>
                <c:pt idx="7">
                  <c:v>1.4671288387002601E-4</c:v>
                </c:pt>
                <c:pt idx="8">
                  <c:v>1.1741571502199566E-4</c:v>
                </c:pt>
                <c:pt idx="9">
                  <c:v>1.3354563930600971E-4</c:v>
                </c:pt>
                <c:pt idx="10">
                  <c:v>1.2093129678400483E-4</c:v>
                </c:pt>
                <c:pt idx="11">
                  <c:v>1.6316851366299234E-4</c:v>
                </c:pt>
                <c:pt idx="12">
                  <c:v>5.9963488859990366E-5</c:v>
                </c:pt>
                <c:pt idx="13">
                  <c:v>-1.7087192043900579E-4</c:v>
                </c:pt>
                <c:pt idx="14">
                  <c:v>3.1151023520997745E-5</c:v>
                </c:pt>
                <c:pt idx="15">
                  <c:v>-3.7386051702004153E-5</c:v>
                </c:pt>
                <c:pt idx="16">
                  <c:v>-5.9859856577998416E-5</c:v>
                </c:pt>
                <c:pt idx="17">
                  <c:v>-1.9758545811000491E-5</c:v>
                </c:pt>
                <c:pt idx="18">
                  <c:v>-2.0257370371000449E-5</c:v>
                </c:pt>
                <c:pt idx="19">
                  <c:v>1.5814358599996331E-7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C34-442E-BE5C-F41F3B71A2E7}"/>
            </c:ext>
          </c:extLst>
        </c:ser>
        <c:ser>
          <c:idx val="11"/>
          <c:order val="11"/>
          <c:tx>
            <c:strRef>
              <c:f>Output_f!$AH$24</c:f>
              <c:strCache>
                <c:ptCount val="1"/>
                <c:pt idx="0">
                  <c:v>Load=12.00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Output_f!$V$25:$V$44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Output_f!$AH$25:$AH$44</c:f>
              <c:numCache>
                <c:formatCode>General</c:formatCode>
                <c:ptCount val="20"/>
                <c:pt idx="0">
                  <c:v>-7.9488430140273181E-6</c:v>
                </c:pt>
                <c:pt idx="1">
                  <c:v>-2.3182808400745714E-6</c:v>
                </c:pt>
                <c:pt idx="2">
                  <c:v>-2.0570682759402104E-6</c:v>
                </c:pt>
                <c:pt idx="3">
                  <c:v>-1.029138264097007E-5</c:v>
                </c:pt>
                <c:pt idx="4">
                  <c:v>3.7117327003066691E-5</c:v>
                </c:pt>
                <c:pt idx="5">
                  <c:v>7.1630046666992797E-5</c:v>
                </c:pt>
                <c:pt idx="6">
                  <c:v>1.1159453551695675E-4</c:v>
                </c:pt>
                <c:pt idx="7">
                  <c:v>1.2650384155798999E-4</c:v>
                </c:pt>
                <c:pt idx="8">
                  <c:v>9.4172078986987096E-5</c:v>
                </c:pt>
                <c:pt idx="9">
                  <c:v>-3.9592769154994656E-5</c:v>
                </c:pt>
                <c:pt idx="10">
                  <c:v>-4.0382394713989189E-5</c:v>
                </c:pt>
                <c:pt idx="11">
                  <c:v>6.3907017549019729E-5</c:v>
                </c:pt>
                <c:pt idx="12">
                  <c:v>6.9179096844007582E-5</c:v>
                </c:pt>
                <c:pt idx="13">
                  <c:v>1.7107640326399776E-4</c:v>
                </c:pt>
                <c:pt idx="14">
                  <c:v>7.4866102018997238E-5</c:v>
                </c:pt>
                <c:pt idx="15">
                  <c:v>-3.9139180288999542E-5</c:v>
                </c:pt>
                <c:pt idx="16">
                  <c:v>-5.7058343506999343E-5</c:v>
                </c:pt>
                <c:pt idx="17">
                  <c:v>-9.7299722269999361E-5</c:v>
                </c:pt>
                <c:pt idx="18">
                  <c:v>1.7919781964002152E-5</c:v>
                </c:pt>
                <c:pt idx="19">
                  <c:v>1.8293328524999694E-5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C34-442E-BE5C-F41F3B71A2E7}"/>
            </c:ext>
          </c:extLst>
        </c:ser>
        <c:ser>
          <c:idx val="12"/>
          <c:order val="12"/>
          <c:tx>
            <c:strRef>
              <c:f>Output_f!$AI$24</c:f>
              <c:strCache>
                <c:ptCount val="1"/>
                <c:pt idx="0">
                  <c:v>Load=13.00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Output_f!$V$25:$V$44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Output_f!$AI$25:$AI$44</c:f>
              <c:numCache>
                <c:formatCode>General</c:formatCode>
                <c:ptCount val="20"/>
                <c:pt idx="0">
                  <c:v>-3.8003275059095287E-6</c:v>
                </c:pt>
                <c:pt idx="1">
                  <c:v>-1.8043316416971322E-5</c:v>
                </c:pt>
                <c:pt idx="2">
                  <c:v>-1.0696029779655447E-6</c:v>
                </c:pt>
                <c:pt idx="3">
                  <c:v>4.4305439140801539E-6</c:v>
                </c:pt>
                <c:pt idx="4">
                  <c:v>2.1668976405098128E-5</c:v>
                </c:pt>
                <c:pt idx="5">
                  <c:v>-3.7788892334966739E-5</c:v>
                </c:pt>
                <c:pt idx="6">
                  <c:v>-3.87845025060507E-5</c:v>
                </c:pt>
                <c:pt idx="7">
                  <c:v>7.8011862140014987E-5</c:v>
                </c:pt>
                <c:pt idx="8">
                  <c:v>-9.281126540500173E-5</c:v>
                </c:pt>
                <c:pt idx="9">
                  <c:v>1.1321174731199202E-4</c:v>
                </c:pt>
                <c:pt idx="10">
                  <c:v>2.3934188516600008E-4</c:v>
                </c:pt>
                <c:pt idx="11">
                  <c:v>-1.9899865328992794E-5</c:v>
                </c:pt>
                <c:pt idx="12">
                  <c:v>2.5849874224001534E-4</c:v>
                </c:pt>
                <c:pt idx="13">
                  <c:v>2.271945550020027E-4</c:v>
                </c:pt>
                <c:pt idx="14">
                  <c:v>-2.6609896841001124E-5</c:v>
                </c:pt>
                <c:pt idx="15">
                  <c:v>1.6288492608799998E-4</c:v>
                </c:pt>
                <c:pt idx="16">
                  <c:v>4.0426296979000076E-5</c:v>
                </c:pt>
                <c:pt idx="17">
                  <c:v>1.4301268849992166E-6</c:v>
                </c:pt>
                <c:pt idx="18">
                  <c:v>-3.326668948800196E-5</c:v>
                </c:pt>
                <c:pt idx="19">
                  <c:v>-7.4456155054001411E-5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C34-442E-BE5C-F41F3B71A2E7}"/>
            </c:ext>
          </c:extLst>
        </c:ser>
        <c:ser>
          <c:idx val="13"/>
          <c:order val="13"/>
          <c:tx>
            <c:strRef>
              <c:f>Output_f!$AJ$24</c:f>
              <c:strCache>
                <c:ptCount val="1"/>
                <c:pt idx="0">
                  <c:v>Load=14.00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Output_f!$V$25:$V$44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Output_f!$AJ$25:$AJ$44</c:f>
              <c:numCache>
                <c:formatCode>General</c:formatCode>
                <c:ptCount val="20"/>
                <c:pt idx="0">
                  <c:v>1.5754545770962913E-5</c:v>
                </c:pt>
                <c:pt idx="1">
                  <c:v>4.1356906700373841E-6</c:v>
                </c:pt>
                <c:pt idx="2">
                  <c:v>4.8079531536959763E-5</c:v>
                </c:pt>
                <c:pt idx="3">
                  <c:v>3.9869057334995794E-5</c:v>
                </c:pt>
                <c:pt idx="4">
                  <c:v>4.1823705684063128E-5</c:v>
                </c:pt>
                <c:pt idx="5">
                  <c:v>2.6059568309921843E-6</c:v>
                </c:pt>
                <c:pt idx="6">
                  <c:v>7.1814474000952977E-5</c:v>
                </c:pt>
                <c:pt idx="7">
                  <c:v>1.0102932103900342E-4</c:v>
                </c:pt>
                <c:pt idx="8">
                  <c:v>7.7519714338003531E-5</c:v>
                </c:pt>
                <c:pt idx="9">
                  <c:v>1.9987257292503058E-4</c:v>
                </c:pt>
                <c:pt idx="10">
                  <c:v>2.400119863599226E-5</c:v>
                </c:pt>
                <c:pt idx="11">
                  <c:v>8.0525004105991282E-5</c:v>
                </c:pt>
                <c:pt idx="12">
                  <c:v>2.1178856561199222E-4</c:v>
                </c:pt>
                <c:pt idx="13">
                  <c:v>1.4427298781599651E-4</c:v>
                </c:pt>
                <c:pt idx="14">
                  <c:v>3.5596592665998461E-5</c:v>
                </c:pt>
                <c:pt idx="15">
                  <c:v>-1.1074480768008543E-5</c:v>
                </c:pt>
                <c:pt idx="16">
                  <c:v>7.235455457101081E-5</c:v>
                </c:pt>
                <c:pt idx="17">
                  <c:v>-5.1910849991010366E-5</c:v>
                </c:pt>
                <c:pt idx="18">
                  <c:v>-4.7564482827000543E-5</c:v>
                </c:pt>
                <c:pt idx="19">
                  <c:v>2.3613304754997733E-5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C34-442E-BE5C-F41F3B71A2E7}"/>
            </c:ext>
          </c:extLst>
        </c:ser>
        <c:ser>
          <c:idx val="14"/>
          <c:order val="14"/>
          <c:tx>
            <c:strRef>
              <c:f>Output_f!$AK$24</c:f>
              <c:strCache>
                <c:ptCount val="1"/>
                <c:pt idx="0">
                  <c:v>Load=15.00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Output_f!$V$25:$V$44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Output_f!$AK$25:$AK$44</c:f>
              <c:numCache>
                <c:formatCode>General</c:formatCode>
                <c:ptCount val="20"/>
                <c:pt idx="0">
                  <c:v>2.3175563170996227E-5</c:v>
                </c:pt>
                <c:pt idx="1">
                  <c:v>1.6316392207005315E-5</c:v>
                </c:pt>
                <c:pt idx="2">
                  <c:v>-4.9006672258045114E-5</c:v>
                </c:pt>
                <c:pt idx="3">
                  <c:v>-5.7789162609678257E-6</c:v>
                </c:pt>
                <c:pt idx="4">
                  <c:v>4.5115383429994438E-5</c:v>
                </c:pt>
                <c:pt idx="5">
                  <c:v>5.2328203350437974E-6</c:v>
                </c:pt>
                <c:pt idx="6">
                  <c:v>-4.7504331731951233E-5</c:v>
                </c:pt>
                <c:pt idx="7">
                  <c:v>-1.5071269439004276E-5</c:v>
                </c:pt>
                <c:pt idx="8">
                  <c:v>5.1963822459977216E-5</c:v>
                </c:pt>
                <c:pt idx="9">
                  <c:v>1.606050620329702E-4</c:v>
                </c:pt>
                <c:pt idx="10">
                  <c:v>4.9434989835006604E-5</c:v>
                </c:pt>
                <c:pt idx="11">
                  <c:v>1.5441405091104476E-4</c:v>
                </c:pt>
                <c:pt idx="12">
                  <c:v>-2.0939831542998721E-5</c:v>
                </c:pt>
                <c:pt idx="13">
                  <c:v>3.8869415565995213E-5</c:v>
                </c:pt>
                <c:pt idx="14">
                  <c:v>6.4699078980157143E-6</c:v>
                </c:pt>
                <c:pt idx="15">
                  <c:v>5.2727181476003304E-5</c:v>
                </c:pt>
                <c:pt idx="16">
                  <c:v>2.750074826110005E-4</c:v>
                </c:pt>
                <c:pt idx="17">
                  <c:v>1.0616390484899374E-4</c:v>
                </c:pt>
                <c:pt idx="18">
                  <c:v>-4.8316862156005946E-5</c:v>
                </c:pt>
                <c:pt idx="19">
                  <c:v>-8.2138722369999584E-5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C34-442E-BE5C-F41F3B71A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7949791"/>
        <c:axId val="767972671"/>
      </c:scatterChart>
      <c:valAx>
        <c:axId val="7679497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Trunks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972671"/>
        <c:crosses val="autoZero"/>
        <c:crossBetween val="midCat"/>
      </c:valAx>
      <c:valAx>
        <c:axId val="767972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Absolute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9497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Percentage Difference (Model vs. Experimental)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Output_f!$W$24</c:f>
              <c:strCache>
                <c:ptCount val="1"/>
                <c:pt idx="0">
                  <c:v>Load=1.00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Output_f!$V$47:$V$66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Output_f!$W$47:$W$66</c:f>
              <c:numCache>
                <c:formatCode>General</c:formatCode>
                <c:ptCount val="20"/>
                <c:pt idx="0">
                  <c:v>1.8408367992994723E-4</c:v>
                </c:pt>
                <c:pt idx="1">
                  <c:v>-5.2099047751996697E-4</c:v>
                </c:pt>
                <c:pt idx="2">
                  <c:v>7.1933342910401876E-4</c:v>
                </c:pt>
                <c:pt idx="3">
                  <c:v>-3.3389203165493932E-4</c:v>
                </c:pt>
                <c:pt idx="4">
                  <c:v>1.3143885063837675E-3</c:v>
                </c:pt>
                <c:pt idx="5">
                  <c:v>5.6320541748545892E-3</c:v>
                </c:pt>
                <c:pt idx="6">
                  <c:v>-5.9625181510941675E-3</c:v>
                </c:pt>
                <c:pt idx="7">
                  <c:v>8.6665987024289556E-2</c:v>
                </c:pt>
                <c:pt idx="8">
                  <c:v>0.24375305733463837</c:v>
                </c:pt>
                <c:pt idx="9">
                  <c:v>-1.3016224483185963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6C-45EA-9AC6-04686A7EC4AD}"/>
            </c:ext>
          </c:extLst>
        </c:ser>
        <c:ser>
          <c:idx val="1"/>
          <c:order val="1"/>
          <c:tx>
            <c:strRef>
              <c:f>Output_f!$X$24</c:f>
              <c:strCache>
                <c:ptCount val="1"/>
                <c:pt idx="0">
                  <c:v>Load=2.00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Output_f!$V$47:$V$66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Output_f!$X$47:$X$66</c:f>
              <c:numCache>
                <c:formatCode>General</c:formatCode>
                <c:ptCount val="20"/>
                <c:pt idx="0">
                  <c:v>5.8537541204328721E-6</c:v>
                </c:pt>
                <c:pt idx="1">
                  <c:v>-2.8541994747249833E-4</c:v>
                </c:pt>
                <c:pt idx="2">
                  <c:v>-3.0373165582762937E-5</c:v>
                </c:pt>
                <c:pt idx="3">
                  <c:v>2.380106431078977E-4</c:v>
                </c:pt>
                <c:pt idx="4">
                  <c:v>-1.3962446834679995E-3</c:v>
                </c:pt>
                <c:pt idx="5">
                  <c:v>2.9683368993795416E-3</c:v>
                </c:pt>
                <c:pt idx="6">
                  <c:v>3.6295936441590616E-3</c:v>
                </c:pt>
                <c:pt idx="7">
                  <c:v>1.2097768153690893E-2</c:v>
                </c:pt>
                <c:pt idx="8">
                  <c:v>2.9382542804696761E-3</c:v>
                </c:pt>
                <c:pt idx="9">
                  <c:v>3.0327616018586991E-2</c:v>
                </c:pt>
                <c:pt idx="10">
                  <c:v>0.19830934944238077</c:v>
                </c:pt>
                <c:pt idx="11">
                  <c:v>2.0683695460766521E-2</c:v>
                </c:pt>
                <c:pt idx="12">
                  <c:v>0.25111017660866225</c:v>
                </c:pt>
                <c:pt idx="13">
                  <c:v>-0.31055737517744619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6C-45EA-9AC6-04686A7EC4AD}"/>
            </c:ext>
          </c:extLst>
        </c:ser>
        <c:ser>
          <c:idx val="2"/>
          <c:order val="2"/>
          <c:tx>
            <c:strRef>
              <c:f>Output_f!$Y$24</c:f>
              <c:strCache>
                <c:ptCount val="1"/>
                <c:pt idx="0">
                  <c:v>Load=3.00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Output_f!$V$47:$V$66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Output_f!$Y$47:$Y$66</c:f>
              <c:numCache>
                <c:formatCode>General</c:formatCode>
                <c:ptCount val="20"/>
                <c:pt idx="0">
                  <c:v>6.8040866236055805E-5</c:v>
                </c:pt>
                <c:pt idx="1">
                  <c:v>-1.9077072843160586E-6</c:v>
                </c:pt>
                <c:pt idx="2">
                  <c:v>4.9518063928586155E-5</c:v>
                </c:pt>
                <c:pt idx="3">
                  <c:v>5.1852477128126696E-4</c:v>
                </c:pt>
                <c:pt idx="4">
                  <c:v>5.6172548736280821E-4</c:v>
                </c:pt>
                <c:pt idx="5">
                  <c:v>1.1026262817920617E-3</c:v>
                </c:pt>
                <c:pt idx="6">
                  <c:v>1.798183302840895E-3</c:v>
                </c:pt>
                <c:pt idx="7">
                  <c:v>2.1760860667709059E-3</c:v>
                </c:pt>
                <c:pt idx="8">
                  <c:v>4.1935219666489741E-5</c:v>
                </c:pt>
                <c:pt idx="9">
                  <c:v>1.3320824389560499E-2</c:v>
                </c:pt>
                <c:pt idx="10">
                  <c:v>-4.3056020847664057E-2</c:v>
                </c:pt>
                <c:pt idx="11">
                  <c:v>-8.9021383654981877E-3</c:v>
                </c:pt>
                <c:pt idx="12">
                  <c:v>8.9439200737713182E-3</c:v>
                </c:pt>
                <c:pt idx="13">
                  <c:v>0.25560848307017625</c:v>
                </c:pt>
                <c:pt idx="14">
                  <c:v>0.6339048128882423</c:v>
                </c:pt>
                <c:pt idx="15">
                  <c:v>0.34916407104245378</c:v>
                </c:pt>
                <c:pt idx="16">
                  <c:v>-0.84403500208809423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C6C-45EA-9AC6-04686A7EC4AD}"/>
            </c:ext>
          </c:extLst>
        </c:ser>
        <c:ser>
          <c:idx val="3"/>
          <c:order val="3"/>
          <c:tx>
            <c:strRef>
              <c:f>Output_f!$Z$24</c:f>
              <c:strCache>
                <c:ptCount val="1"/>
                <c:pt idx="0">
                  <c:v>Load=4.00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Output_f!$V$47:$V$66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Output_f!$Z$47:$Z$66</c:f>
              <c:numCache>
                <c:formatCode>General</c:formatCode>
                <c:ptCount val="20"/>
                <c:pt idx="0">
                  <c:v>-3.9900005824877738E-5</c:v>
                </c:pt>
                <c:pt idx="1">
                  <c:v>7.7380130538151677E-6</c:v>
                </c:pt>
                <c:pt idx="2">
                  <c:v>3.7488659574025856E-4</c:v>
                </c:pt>
                <c:pt idx="3">
                  <c:v>-2.6168889987045229E-4</c:v>
                </c:pt>
                <c:pt idx="4">
                  <c:v>1.1855172217343024E-3</c:v>
                </c:pt>
                <c:pt idx="5">
                  <c:v>2.5396957344345954E-4</c:v>
                </c:pt>
                <c:pt idx="6">
                  <c:v>-1.9563459747509731E-4</c:v>
                </c:pt>
                <c:pt idx="7">
                  <c:v>1.3284529872990378E-3</c:v>
                </c:pt>
                <c:pt idx="8">
                  <c:v>2.3866107278150018E-3</c:v>
                </c:pt>
                <c:pt idx="9">
                  <c:v>-1.2977610519759727E-3</c:v>
                </c:pt>
                <c:pt idx="10">
                  <c:v>6.9224018737806658E-3</c:v>
                </c:pt>
                <c:pt idx="11">
                  <c:v>8.716378982118661E-3</c:v>
                </c:pt>
                <c:pt idx="12">
                  <c:v>2.7472767436377277E-3</c:v>
                </c:pt>
                <c:pt idx="13">
                  <c:v>-3.3667203208959287E-2</c:v>
                </c:pt>
                <c:pt idx="14">
                  <c:v>-2.8407983889268955E-2</c:v>
                </c:pt>
                <c:pt idx="15">
                  <c:v>-1.0692192126118348E-2</c:v>
                </c:pt>
                <c:pt idx="16">
                  <c:v>0.32176948241898656</c:v>
                </c:pt>
                <c:pt idx="17">
                  <c:v>0.6608845957662538</c:v>
                </c:pt>
                <c:pt idx="18">
                  <c:v>0.19460095977707564</c:v>
                </c:pt>
                <c:pt idx="1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C6C-45EA-9AC6-04686A7EC4AD}"/>
            </c:ext>
          </c:extLst>
        </c:ser>
        <c:ser>
          <c:idx val="4"/>
          <c:order val="4"/>
          <c:tx>
            <c:strRef>
              <c:f>Output_f!$AA$24</c:f>
              <c:strCache>
                <c:ptCount val="1"/>
                <c:pt idx="0">
                  <c:v>Load=5.00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Output_f!$V$47:$V$66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Output_f!$AA$47:$AA$66</c:f>
              <c:numCache>
                <c:formatCode>General</c:formatCode>
                <c:ptCount val="20"/>
                <c:pt idx="0">
                  <c:v>2.3315067033680144E-5</c:v>
                </c:pt>
                <c:pt idx="1">
                  <c:v>-8.2396290469350885E-5</c:v>
                </c:pt>
                <c:pt idx="2">
                  <c:v>1.0727676561382527E-4</c:v>
                </c:pt>
                <c:pt idx="3">
                  <c:v>-1.6908289921675168E-4</c:v>
                </c:pt>
                <c:pt idx="4">
                  <c:v>4.0040313068733256E-4</c:v>
                </c:pt>
                <c:pt idx="5">
                  <c:v>-5.646153500378431E-5</c:v>
                </c:pt>
                <c:pt idx="6">
                  <c:v>9.7051137725459783E-5</c:v>
                </c:pt>
                <c:pt idx="7">
                  <c:v>1.3391357552884748E-3</c:v>
                </c:pt>
                <c:pt idx="8">
                  <c:v>1.7295836610745476E-3</c:v>
                </c:pt>
                <c:pt idx="9">
                  <c:v>1.0957927564313051E-3</c:v>
                </c:pt>
                <c:pt idx="10">
                  <c:v>2.8237894062772685E-3</c:v>
                </c:pt>
                <c:pt idx="11">
                  <c:v>9.0064200169806801E-3</c:v>
                </c:pt>
                <c:pt idx="12">
                  <c:v>1.1470243887025637E-2</c:v>
                </c:pt>
                <c:pt idx="13">
                  <c:v>-5.7179176835439128E-3</c:v>
                </c:pt>
                <c:pt idx="14">
                  <c:v>-7.5362236567865695E-3</c:v>
                </c:pt>
                <c:pt idx="15">
                  <c:v>-5.9150600176234042E-3</c:v>
                </c:pt>
                <c:pt idx="16">
                  <c:v>-4.9377991996373993E-2</c:v>
                </c:pt>
                <c:pt idx="17">
                  <c:v>-0.1208901774641024</c:v>
                </c:pt>
                <c:pt idx="18">
                  <c:v>0.11656845661296507</c:v>
                </c:pt>
                <c:pt idx="19">
                  <c:v>0.24277222169214124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C6C-45EA-9AC6-04686A7EC4AD}"/>
            </c:ext>
          </c:extLst>
        </c:ser>
        <c:ser>
          <c:idx val="5"/>
          <c:order val="5"/>
          <c:tx>
            <c:strRef>
              <c:f>Output_f!$AB$24</c:f>
              <c:strCache>
                <c:ptCount val="1"/>
                <c:pt idx="0">
                  <c:v>Load=6.00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Output_f!$V$47:$V$66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Output_f!$AB$47:$AB$66</c:f>
              <c:numCache>
                <c:formatCode>General</c:formatCode>
                <c:ptCount val="20"/>
                <c:pt idx="0">
                  <c:v>1.6670987822967984E-5</c:v>
                </c:pt>
                <c:pt idx="1">
                  <c:v>-1.321176943618823E-5</c:v>
                </c:pt>
                <c:pt idx="2">
                  <c:v>-7.7242152162809035E-5</c:v>
                </c:pt>
                <c:pt idx="3">
                  <c:v>3.1063715242451604E-4</c:v>
                </c:pt>
                <c:pt idx="4">
                  <c:v>1.2017624570175345E-4</c:v>
                </c:pt>
                <c:pt idx="5">
                  <c:v>-2.1063940841341115E-4</c:v>
                </c:pt>
                <c:pt idx="6">
                  <c:v>1.269788915714442E-4</c:v>
                </c:pt>
                <c:pt idx="7">
                  <c:v>2.6998410125579115E-4</c:v>
                </c:pt>
                <c:pt idx="8">
                  <c:v>1.1318749971558129E-3</c:v>
                </c:pt>
                <c:pt idx="9">
                  <c:v>-3.6434341917615949E-4</c:v>
                </c:pt>
                <c:pt idx="10">
                  <c:v>-1.570662170670494E-3</c:v>
                </c:pt>
                <c:pt idx="11">
                  <c:v>5.1477861677456703E-3</c:v>
                </c:pt>
                <c:pt idx="12">
                  <c:v>1.7633842740936278E-3</c:v>
                </c:pt>
                <c:pt idx="13">
                  <c:v>-1.2988855866381131E-3</c:v>
                </c:pt>
                <c:pt idx="14">
                  <c:v>7.3577965613525207E-3</c:v>
                </c:pt>
                <c:pt idx="15">
                  <c:v>-3.1148401070372252E-3</c:v>
                </c:pt>
                <c:pt idx="16">
                  <c:v>2.3813126448112396E-3</c:v>
                </c:pt>
                <c:pt idx="17">
                  <c:v>-2.4860922086281125E-2</c:v>
                </c:pt>
                <c:pt idx="18">
                  <c:v>-0.12479132367547285</c:v>
                </c:pt>
                <c:pt idx="19">
                  <c:v>-0.27066365696682454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C6C-45EA-9AC6-04686A7EC4AD}"/>
            </c:ext>
          </c:extLst>
        </c:ser>
        <c:ser>
          <c:idx val="6"/>
          <c:order val="6"/>
          <c:tx>
            <c:strRef>
              <c:f>Output_f!$AC$24</c:f>
              <c:strCache>
                <c:ptCount val="1"/>
                <c:pt idx="0">
                  <c:v>Load=7.00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Output_f!$V$47:$V$66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Output_f!$AC$47:$AC$66</c:f>
              <c:numCache>
                <c:formatCode>General</c:formatCode>
                <c:ptCount val="20"/>
                <c:pt idx="0">
                  <c:v>-4.6770547303002075E-6</c:v>
                </c:pt>
                <c:pt idx="1">
                  <c:v>-3.6632659705206713E-5</c:v>
                </c:pt>
                <c:pt idx="2">
                  <c:v>9.5894820221099496E-5</c:v>
                </c:pt>
                <c:pt idx="3">
                  <c:v>1.043385017413245E-4</c:v>
                </c:pt>
                <c:pt idx="4">
                  <c:v>2.2812423164061201E-4</c:v>
                </c:pt>
                <c:pt idx="5">
                  <c:v>2.6235480188686037E-4</c:v>
                </c:pt>
                <c:pt idx="6">
                  <c:v>2.5779957943174479E-4</c:v>
                </c:pt>
                <c:pt idx="7">
                  <c:v>-1.6456600302971707E-4</c:v>
                </c:pt>
                <c:pt idx="8">
                  <c:v>-4.6221464739663605E-4</c:v>
                </c:pt>
                <c:pt idx="9">
                  <c:v>-1.1684241845185748E-3</c:v>
                </c:pt>
                <c:pt idx="10">
                  <c:v>-1.5454381274394905E-3</c:v>
                </c:pt>
                <c:pt idx="11">
                  <c:v>1.4811980160336861E-3</c:v>
                </c:pt>
                <c:pt idx="12">
                  <c:v>1.5012511173599045E-3</c:v>
                </c:pt>
                <c:pt idx="13">
                  <c:v>4.5036722233731796E-3</c:v>
                </c:pt>
                <c:pt idx="14">
                  <c:v>-2.266646398293843E-3</c:v>
                </c:pt>
                <c:pt idx="15">
                  <c:v>-8.0745807444641956E-4</c:v>
                </c:pt>
                <c:pt idx="16">
                  <c:v>-1.6663141869298832E-3</c:v>
                </c:pt>
                <c:pt idx="17">
                  <c:v>-2.1041051783995426E-2</c:v>
                </c:pt>
                <c:pt idx="18">
                  <c:v>-3.2447226207596297E-2</c:v>
                </c:pt>
                <c:pt idx="19">
                  <c:v>-2.312019521677711E-2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C6C-45EA-9AC6-04686A7EC4AD}"/>
            </c:ext>
          </c:extLst>
        </c:ser>
        <c:ser>
          <c:idx val="7"/>
          <c:order val="7"/>
          <c:tx>
            <c:strRef>
              <c:f>Output_f!$AD$24</c:f>
              <c:strCache>
                <c:ptCount val="1"/>
                <c:pt idx="0">
                  <c:v>Load=8.00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Output_f!$V$47:$V$66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Output_f!$AD$47:$AD$66</c:f>
              <c:numCache>
                <c:formatCode>General</c:formatCode>
                <c:ptCount val="20"/>
                <c:pt idx="0">
                  <c:v>3.997965001044379E-5</c:v>
                </c:pt>
                <c:pt idx="1">
                  <c:v>1.0472326004318241E-5</c:v>
                </c:pt>
                <c:pt idx="2">
                  <c:v>1.8276579398493435E-4</c:v>
                </c:pt>
                <c:pt idx="3">
                  <c:v>9.6688582113572114E-5</c:v>
                </c:pt>
                <c:pt idx="4">
                  <c:v>1.8190610782536654E-4</c:v>
                </c:pt>
                <c:pt idx="5">
                  <c:v>1.5612186977341484E-4</c:v>
                </c:pt>
                <c:pt idx="6">
                  <c:v>-1.1718316888131641E-4</c:v>
                </c:pt>
                <c:pt idx="7">
                  <c:v>1.5471077870005945E-4</c:v>
                </c:pt>
                <c:pt idx="8">
                  <c:v>7.0811061431819331E-5</c:v>
                </c:pt>
                <c:pt idx="9">
                  <c:v>-7.6217152949777458E-4</c:v>
                </c:pt>
                <c:pt idx="10">
                  <c:v>-1.2172816807128526E-3</c:v>
                </c:pt>
                <c:pt idx="11">
                  <c:v>5.4537091584544927E-4</c:v>
                </c:pt>
                <c:pt idx="12">
                  <c:v>5.3106631870251551E-4</c:v>
                </c:pt>
                <c:pt idx="13">
                  <c:v>2.7880700067951926E-3</c:v>
                </c:pt>
                <c:pt idx="14">
                  <c:v>7.2559431978920872E-3</c:v>
                </c:pt>
                <c:pt idx="15">
                  <c:v>2.0739547754567442E-4</c:v>
                </c:pt>
                <c:pt idx="16">
                  <c:v>3.6296364777220953E-3</c:v>
                </c:pt>
                <c:pt idx="17">
                  <c:v>1.3245909338948295E-2</c:v>
                </c:pt>
                <c:pt idx="18">
                  <c:v>1.8125996870133818E-3</c:v>
                </c:pt>
                <c:pt idx="19">
                  <c:v>-3.5137113061127004E-2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C6C-45EA-9AC6-04686A7EC4AD}"/>
            </c:ext>
          </c:extLst>
        </c:ser>
        <c:ser>
          <c:idx val="8"/>
          <c:order val="8"/>
          <c:tx>
            <c:strRef>
              <c:f>Output_f!$AE$24</c:f>
              <c:strCache>
                <c:ptCount val="1"/>
                <c:pt idx="0">
                  <c:v>Load=9.00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Output_f!$V$47:$V$66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Output_f!$AE$47:$AE$66</c:f>
              <c:numCache>
                <c:formatCode>General</c:formatCode>
                <c:ptCount val="20"/>
                <c:pt idx="0">
                  <c:v>-3.0523824968832334E-5</c:v>
                </c:pt>
                <c:pt idx="1">
                  <c:v>3.9398048079823889E-6</c:v>
                </c:pt>
                <c:pt idx="2">
                  <c:v>-1.6661914775324888E-5</c:v>
                </c:pt>
                <c:pt idx="3">
                  <c:v>8.3911280754707355E-6</c:v>
                </c:pt>
                <c:pt idx="4">
                  <c:v>-1.8888986976209317E-5</c:v>
                </c:pt>
                <c:pt idx="5">
                  <c:v>-3.4946079960599118E-4</c:v>
                </c:pt>
                <c:pt idx="6">
                  <c:v>-1.883021355299265E-4</c:v>
                </c:pt>
                <c:pt idx="7">
                  <c:v>-1.3344224959460464E-4</c:v>
                </c:pt>
                <c:pt idx="8">
                  <c:v>3.1405766932521615E-4</c:v>
                </c:pt>
                <c:pt idx="9">
                  <c:v>1.1455208241593609E-3</c:v>
                </c:pt>
                <c:pt idx="10">
                  <c:v>6.7783119591926188E-4</c:v>
                </c:pt>
                <c:pt idx="11">
                  <c:v>-8.4692796606510717E-4</c:v>
                </c:pt>
                <c:pt idx="12">
                  <c:v>-8.2011110801133034E-4</c:v>
                </c:pt>
                <c:pt idx="13">
                  <c:v>-3.103844785820823E-3</c:v>
                </c:pt>
                <c:pt idx="14">
                  <c:v>1.511516864926072E-3</c:v>
                </c:pt>
                <c:pt idx="15">
                  <c:v>3.3948871297449328E-3</c:v>
                </c:pt>
                <c:pt idx="16">
                  <c:v>3.3524623688684623E-3</c:v>
                </c:pt>
                <c:pt idx="17">
                  <c:v>3.1238210119697045E-3</c:v>
                </c:pt>
                <c:pt idx="18">
                  <c:v>-4.5192302302352683E-3</c:v>
                </c:pt>
                <c:pt idx="19">
                  <c:v>-3.0992803234364867E-2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C6C-45EA-9AC6-04686A7EC4AD}"/>
            </c:ext>
          </c:extLst>
        </c:ser>
        <c:ser>
          <c:idx val="9"/>
          <c:order val="9"/>
          <c:tx>
            <c:strRef>
              <c:f>Output_f!$AF$24</c:f>
              <c:strCache>
                <c:ptCount val="1"/>
                <c:pt idx="0">
                  <c:v>Load=10.00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Output_f!$V$47:$V$66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Output_f!$AF$47:$AF$66</c:f>
              <c:numCache>
                <c:formatCode>General</c:formatCode>
                <c:ptCount val="20"/>
                <c:pt idx="0">
                  <c:v>1.0420641459685245E-5</c:v>
                </c:pt>
                <c:pt idx="1">
                  <c:v>-2.4381878792212319E-5</c:v>
                </c:pt>
                <c:pt idx="2">
                  <c:v>2.9208650501335803E-5</c:v>
                </c:pt>
                <c:pt idx="3">
                  <c:v>-2.0837721846789306E-5</c:v>
                </c:pt>
                <c:pt idx="4">
                  <c:v>1.6500081697502566E-4</c:v>
                </c:pt>
                <c:pt idx="5">
                  <c:v>1.2147742085991714E-4</c:v>
                </c:pt>
                <c:pt idx="6">
                  <c:v>-3.1630426145613848E-4</c:v>
                </c:pt>
                <c:pt idx="7">
                  <c:v>5.1646264569386185E-4</c:v>
                </c:pt>
                <c:pt idx="8">
                  <c:v>-2.5189892749413697E-5</c:v>
                </c:pt>
                <c:pt idx="9">
                  <c:v>6.6221064371976563E-4</c:v>
                </c:pt>
                <c:pt idx="10">
                  <c:v>-4.4661293912104085E-5</c:v>
                </c:pt>
                <c:pt idx="11">
                  <c:v>-3.0790335861495571E-4</c:v>
                </c:pt>
                <c:pt idx="12">
                  <c:v>1.2152792008372866E-3</c:v>
                </c:pt>
                <c:pt idx="13">
                  <c:v>-4.2566961177986244E-4</c:v>
                </c:pt>
                <c:pt idx="14">
                  <c:v>1.416877484970932E-4</c:v>
                </c:pt>
                <c:pt idx="15">
                  <c:v>-3.0201954655677629E-4</c:v>
                </c:pt>
                <c:pt idx="16">
                  <c:v>-1.5973686699445821E-3</c:v>
                </c:pt>
                <c:pt idx="17">
                  <c:v>2.6400067222344453E-3</c:v>
                </c:pt>
                <c:pt idx="18">
                  <c:v>-3.1938090212002977E-3</c:v>
                </c:pt>
                <c:pt idx="19">
                  <c:v>1.6799687616921182E-3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C6C-45EA-9AC6-04686A7EC4AD}"/>
            </c:ext>
          </c:extLst>
        </c:ser>
        <c:ser>
          <c:idx val="10"/>
          <c:order val="10"/>
          <c:tx>
            <c:strRef>
              <c:f>Output_f!$AG$24</c:f>
              <c:strCache>
                <c:ptCount val="1"/>
                <c:pt idx="0">
                  <c:v>Load=11.00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Output_f!$V$47:$V$66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Output_f!$AG$47:$AG$66</c:f>
              <c:numCache>
                <c:formatCode>General</c:formatCode>
                <c:ptCount val="20"/>
                <c:pt idx="0">
                  <c:v>3.2396181686358059E-6</c:v>
                </c:pt>
                <c:pt idx="1">
                  <c:v>-1.7854974941177712E-5</c:v>
                </c:pt>
                <c:pt idx="2">
                  <c:v>5.8395933476045823E-5</c:v>
                </c:pt>
                <c:pt idx="3">
                  <c:v>2.4852780883119686E-4</c:v>
                </c:pt>
                <c:pt idx="4">
                  <c:v>-7.5133234294944123E-5</c:v>
                </c:pt>
                <c:pt idx="5">
                  <c:v>-1.6368806215885513E-4</c:v>
                </c:pt>
                <c:pt idx="6">
                  <c:v>1.8063765982981249E-4</c:v>
                </c:pt>
                <c:pt idx="7">
                  <c:v>3.8330700039781795E-4</c:v>
                </c:pt>
                <c:pt idx="8">
                  <c:v>3.684046342306912E-4</c:v>
                </c:pt>
                <c:pt idx="9">
                  <c:v>5.1446748836032419E-4</c:v>
                </c:pt>
                <c:pt idx="10">
                  <c:v>5.8680364457413029E-4</c:v>
                </c:pt>
                <c:pt idx="11">
                  <c:v>1.0269005157633473E-3</c:v>
                </c:pt>
                <c:pt idx="12">
                  <c:v>5.0595806293246993E-4</c:v>
                </c:pt>
                <c:pt idx="13">
                  <c:v>-2.005861822793309E-3</c:v>
                </c:pt>
                <c:pt idx="14">
                  <c:v>5.2980720461507627E-4</c:v>
                </c:pt>
                <c:pt idx="15">
                  <c:v>-9.6225977064829478E-4</c:v>
                </c:pt>
                <c:pt idx="16">
                  <c:v>-2.4409434111307983E-3</c:v>
                </c:pt>
                <c:pt idx="17">
                  <c:v>-1.3381878198829365E-3</c:v>
                </c:pt>
                <c:pt idx="18">
                  <c:v>-2.3900267234765551E-3</c:v>
                </c:pt>
                <c:pt idx="19">
                  <c:v>3.4082262853939871E-5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C6C-45EA-9AC6-04686A7EC4AD}"/>
            </c:ext>
          </c:extLst>
        </c:ser>
        <c:ser>
          <c:idx val="11"/>
          <c:order val="11"/>
          <c:tx>
            <c:strRef>
              <c:f>Output_f!$AH$24</c:f>
              <c:strCache>
                <c:ptCount val="1"/>
                <c:pt idx="0">
                  <c:v>Load=12.00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Output_f!$V$47:$V$66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Output_f!$AH$47:$AH$66</c:f>
              <c:numCache>
                <c:formatCode>General</c:formatCode>
                <c:ptCount val="20"/>
                <c:pt idx="0">
                  <c:v>-8.6112465985295951E-6</c:v>
                </c:pt>
                <c:pt idx="1">
                  <c:v>-2.7368593250880348E-6</c:v>
                </c:pt>
                <c:pt idx="2">
                  <c:v>-2.664189121269786E-6</c:v>
                </c:pt>
                <c:pt idx="3">
                  <c:v>-1.4734305933888862E-5</c:v>
                </c:pt>
                <c:pt idx="4">
                  <c:v>5.9259559595077426E-5</c:v>
                </c:pt>
                <c:pt idx="5">
                  <c:v>1.2881041715690072E-4</c:v>
                </c:pt>
                <c:pt idx="6">
                  <c:v>2.2865641037325566E-4</c:v>
                </c:pt>
                <c:pt idx="7">
                  <c:v>2.9930748990318964E-4</c:v>
                </c:pt>
                <c:pt idx="8">
                  <c:v>2.6128009859388069E-4</c:v>
                </c:pt>
                <c:pt idx="9">
                  <c:v>-1.3113443362445319E-4</c:v>
                </c:pt>
                <c:pt idx="10">
                  <c:v>-1.6298632024258652E-4</c:v>
                </c:pt>
                <c:pt idx="11">
                  <c:v>3.218404487327055E-4</c:v>
                </c:pt>
                <c:pt idx="12">
                  <c:v>4.4660271103416903E-4</c:v>
                </c:pt>
                <c:pt idx="13">
                  <c:v>1.4595732730812636E-3</c:v>
                </c:pt>
                <c:pt idx="14">
                  <c:v>8.7328540095409101E-4</c:v>
                </c:pt>
                <c:pt idx="15">
                  <c:v>-6.4786460394415874E-4</c:v>
                </c:pt>
                <c:pt idx="16">
                  <c:v>-1.3950683511336668E-3</c:v>
                </c:pt>
                <c:pt idx="17">
                  <c:v>-3.6657461957376016E-3</c:v>
                </c:pt>
                <c:pt idx="18">
                  <c:v>1.0868660317397175E-3</c:v>
                </c:pt>
                <c:pt idx="19">
                  <c:v>1.8674971321964173E-3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C6C-45EA-9AC6-04686A7EC4AD}"/>
            </c:ext>
          </c:extLst>
        </c:ser>
        <c:ser>
          <c:idx val="12"/>
          <c:order val="12"/>
          <c:tx>
            <c:strRef>
              <c:f>Output_f!$AI$24</c:f>
              <c:strCache>
                <c:ptCount val="1"/>
                <c:pt idx="0">
                  <c:v>Load=13.00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Output_f!$V$47:$V$66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Output_f!$AI$47:$AI$66</c:f>
              <c:numCache>
                <c:formatCode>General</c:formatCode>
                <c:ptCount val="20"/>
                <c:pt idx="0">
                  <c:v>-4.0926603909794906E-6</c:v>
                </c:pt>
                <c:pt idx="1">
                  <c:v>-2.1032741622149991E-5</c:v>
                </c:pt>
                <c:pt idx="2">
                  <c:v>-1.3573295869676548E-6</c:v>
                </c:pt>
                <c:pt idx="3">
                  <c:v>6.1605052505117137E-6</c:v>
                </c:pt>
                <c:pt idx="4">
                  <c:v>3.3257399294509732E-5</c:v>
                </c:pt>
                <c:pt idx="5">
                  <c:v>-6.4557263664620924E-5</c:v>
                </c:pt>
                <c:pt idx="6">
                  <c:v>-7.4461957313771526E-5</c:v>
                </c:pt>
                <c:pt idx="7">
                  <c:v>1.7018057066724797E-4</c:v>
                </c:pt>
                <c:pt idx="8">
                  <c:v>-2.3297936400638977E-4</c:v>
                </c:pt>
                <c:pt idx="9">
                  <c:v>3.3181916918958651E-4</c:v>
                </c:pt>
                <c:pt idx="10">
                  <c:v>8.3292018906971628E-4</c:v>
                </c:pt>
                <c:pt idx="11">
                  <c:v>-8.3825156186618873E-5</c:v>
                </c:pt>
                <c:pt idx="12">
                  <c:v>1.347385379615597E-3</c:v>
                </c:pt>
                <c:pt idx="13">
                  <c:v>1.5025052399546233E-3</c:v>
                </c:pt>
                <c:pt idx="14">
                  <c:v>-2.2966278642230751E-4</c:v>
                </c:pt>
                <c:pt idx="15">
                  <c:v>1.8931194134852558E-3</c:v>
                </c:pt>
                <c:pt idx="16">
                  <c:v>6.5484813778572107E-4</c:v>
                </c:pt>
                <c:pt idx="17">
                  <c:v>3.3506138243225231E-5</c:v>
                </c:pt>
                <c:pt idx="18">
                  <c:v>-1.1723871120747783E-3</c:v>
                </c:pt>
                <c:pt idx="19">
                  <c:v>-4.111362739777925E-3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6C6C-45EA-9AC6-04686A7EC4AD}"/>
            </c:ext>
          </c:extLst>
        </c:ser>
        <c:ser>
          <c:idx val="13"/>
          <c:order val="13"/>
          <c:tx>
            <c:strRef>
              <c:f>Output_f!$AJ$24</c:f>
              <c:strCache>
                <c:ptCount val="1"/>
                <c:pt idx="0">
                  <c:v>Load=14.00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Output_f!$V$47:$V$66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Output_f!$AJ$47:$AJ$66</c:f>
              <c:numCache>
                <c:formatCode>General</c:formatCode>
                <c:ptCount val="20"/>
                <c:pt idx="0">
                  <c:v>1.6879870468888842E-5</c:v>
                </c:pt>
                <c:pt idx="1">
                  <c:v>4.7687045481043279E-6</c:v>
                </c:pt>
                <c:pt idx="2">
                  <c:v>5.9959240859867417E-5</c:v>
                </c:pt>
                <c:pt idx="3">
                  <c:v>5.4074796006419759E-5</c:v>
                </c:pt>
                <c:pt idx="4">
                  <c:v>6.2082957418482026E-5</c:v>
                </c:pt>
                <c:pt idx="5">
                  <c:v>4.2637880707511504E-6</c:v>
                </c:pt>
                <c:pt idx="6">
                  <c:v>1.3056481359041388E-4</c:v>
                </c:pt>
                <c:pt idx="7">
                  <c:v>2.0598925646092336E-4</c:v>
                </c:pt>
                <c:pt idx="8">
                  <c:v>1.7912674808958867E-4</c:v>
                </c:pt>
                <c:pt idx="9">
                  <c:v>5.2976583506489253E-4</c:v>
                </c:pt>
                <c:pt idx="10">
                  <c:v>7.3984889805767278E-5</c:v>
                </c:pt>
                <c:pt idx="11">
                  <c:v>2.9328700507622518E-4</c:v>
                </c:pt>
                <c:pt idx="12">
                  <c:v>9.2806372625972892E-4</c:v>
                </c:pt>
                <c:pt idx="13">
                  <c:v>7.7648146556941991E-4</c:v>
                </c:pt>
                <c:pt idx="14">
                  <c:v>2.4086292388335366E-4</c:v>
                </c:pt>
                <c:pt idx="15">
                  <c:v>-9.6714517588415903E-5</c:v>
                </c:pt>
                <c:pt idx="16">
                  <c:v>8.3963663683396322E-4</c:v>
                </c:pt>
                <c:pt idx="17">
                  <c:v>-8.2642278705782543E-4</c:v>
                </c:pt>
                <c:pt idx="18">
                  <c:v>-1.0752316646032852E-3</c:v>
                </c:pt>
                <c:pt idx="19">
                  <c:v>7.8618028959797563E-4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6C6C-45EA-9AC6-04686A7EC4AD}"/>
            </c:ext>
          </c:extLst>
        </c:ser>
        <c:ser>
          <c:idx val="14"/>
          <c:order val="14"/>
          <c:tx>
            <c:strRef>
              <c:f>Output_f!$AK$24</c:f>
              <c:strCache>
                <c:ptCount val="1"/>
                <c:pt idx="0">
                  <c:v>Load=15.00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Output_f!$V$47:$V$66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Output_f!$AK$47:$AK$66</c:f>
              <c:numCache>
                <c:formatCode>General</c:formatCode>
                <c:ptCount val="20"/>
                <c:pt idx="0">
                  <c:v>2.472060071572931E-5</c:v>
                </c:pt>
                <c:pt idx="1">
                  <c:v>1.8636945765334964E-5</c:v>
                </c:pt>
                <c:pt idx="2">
                  <c:v>-6.0201974276105215E-5</c:v>
                </c:pt>
                <c:pt idx="3">
                  <c:v>-7.6720036144866519E-6</c:v>
                </c:pt>
                <c:pt idx="4">
                  <c:v>6.5080221651864391E-5</c:v>
                </c:pt>
                <c:pt idx="5">
                  <c:v>8.2522171028666442E-6</c:v>
                </c:pt>
                <c:pt idx="6">
                  <c:v>-8.2464604723725862E-5</c:v>
                </c:pt>
                <c:pt idx="7">
                  <c:v>-2.9024762174335325E-5</c:v>
                </c:pt>
                <c:pt idx="8">
                  <c:v>1.1200803816487021E-4</c:v>
                </c:pt>
                <c:pt idx="9">
                  <c:v>3.913945750191827E-4</c:v>
                </c:pt>
                <c:pt idx="10">
                  <c:v>1.3778191677033083E-4</c:v>
                </c:pt>
                <c:pt idx="11">
                  <c:v>4.9871211156490641E-4</c:v>
                </c:pt>
                <c:pt idx="12">
                  <c:v>-7.9552079180272012E-5</c:v>
                </c:pt>
                <c:pt idx="13">
                  <c:v>1.7669287244931599E-4</c:v>
                </c:pt>
                <c:pt idx="14">
                  <c:v>3.588086235504708E-5</c:v>
                </c:pt>
                <c:pt idx="15">
                  <c:v>3.6463628777456291E-4</c:v>
                </c:pt>
                <c:pt idx="16">
                  <c:v>2.4304056168824445E-3</c:v>
                </c:pt>
                <c:pt idx="17">
                  <c:v>1.2320446185173108E-3</c:v>
                </c:pt>
                <c:pt idx="18">
                  <c:v>-7.5856583780979506E-4</c:v>
                </c:pt>
                <c:pt idx="19">
                  <c:v>-1.8015558084118516E-3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6C6C-45EA-9AC6-04686A7EC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7949791"/>
        <c:axId val="767972671"/>
      </c:scatterChart>
      <c:valAx>
        <c:axId val="7679497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Trunks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972671"/>
        <c:crosses val="autoZero"/>
        <c:crossBetween val="midCat"/>
      </c:valAx>
      <c:valAx>
        <c:axId val="767972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Percentage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9497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368300</xdr:colOff>
      <xdr:row>52</xdr:row>
      <xdr:rowOff>171450</xdr:rowOff>
    </xdr:from>
    <xdr:to>
      <xdr:col>18</xdr:col>
      <xdr:colOff>463550</xdr:colOff>
      <xdr:row>76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669FDF-CD6C-EB47-84EA-342E02D4F0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155574</xdr:colOff>
      <xdr:row>11</xdr:row>
      <xdr:rowOff>82550</xdr:rowOff>
    </xdr:from>
    <xdr:to>
      <xdr:col>21</xdr:col>
      <xdr:colOff>12700</xdr:colOff>
      <xdr:row>34</xdr:row>
      <xdr:rowOff>139700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57E0525-B263-857A-CEB7-F05914EA41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479424</xdr:colOff>
      <xdr:row>6</xdr:row>
      <xdr:rowOff>171450</xdr:rowOff>
    </xdr:from>
    <xdr:to>
      <xdr:col>20</xdr:col>
      <xdr:colOff>114299</xdr:colOff>
      <xdr:row>34</xdr:row>
      <xdr:rowOff>177800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71120AD-2B5E-B8D4-4FCD-7DDE0214FD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12700</xdr:colOff>
      <xdr:row>37</xdr:row>
      <xdr:rowOff>146050</xdr:rowOff>
    </xdr:from>
    <xdr:to>
      <xdr:col>20</xdr:col>
      <xdr:colOff>257175</xdr:colOff>
      <xdr:row>65</xdr:row>
      <xdr:rowOff>152400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BA487A8-0EFA-4FC6-8FC7-B87A0A2D5D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K81"/>
  <sheetViews>
    <sheetView tabSelected="1" topLeftCell="E28" workbookViewId="0">
      <selection activeCell="AA69" sqref="AA69"/>
    </sheetView>
  </sheetViews>
  <sheetFormatPr defaultRowHeight="14.5" x14ac:dyDescent="0.35"/>
  <cols>
    <col min="1" max="1" width="12.26953125" customWidth="1"/>
    <col min="23" max="23" width="11.81640625" bestFit="1" customWidth="1"/>
  </cols>
  <sheetData>
    <row r="1" spans="1:37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U1" t="s">
        <v>17</v>
      </c>
      <c r="V1" t="s">
        <v>1</v>
      </c>
      <c r="W1" t="s">
        <v>2</v>
      </c>
      <c r="X1" t="s">
        <v>3</v>
      </c>
      <c r="Y1" t="s">
        <v>4</v>
      </c>
      <c r="Z1" t="s">
        <v>5</v>
      </c>
      <c r="AA1" t="s">
        <v>6</v>
      </c>
      <c r="AB1" t="s">
        <v>7</v>
      </c>
      <c r="AC1" t="s">
        <v>8</v>
      </c>
      <c r="AD1" t="s">
        <v>9</v>
      </c>
      <c r="AE1" t="s">
        <v>10</v>
      </c>
      <c r="AF1" t="s">
        <v>11</v>
      </c>
      <c r="AG1" t="s">
        <v>12</v>
      </c>
      <c r="AH1" t="s">
        <v>13</v>
      </c>
      <c r="AI1" t="s">
        <v>14</v>
      </c>
      <c r="AJ1" t="s">
        <v>15</v>
      </c>
      <c r="AK1" t="s">
        <v>16</v>
      </c>
    </row>
    <row r="2" spans="1:37" x14ac:dyDescent="0.35">
      <c r="A2">
        <v>400137271</v>
      </c>
      <c r="B2">
        <v>1</v>
      </c>
      <c r="C2">
        <v>0.49975940928789703</v>
      </c>
      <c r="D2">
        <v>0.66658634731773603</v>
      </c>
      <c r="E2">
        <v>0.74993580226883705</v>
      </c>
      <c r="F2">
        <v>0.80012093083442704</v>
      </c>
      <c r="G2">
        <v>0.83327188846663003</v>
      </c>
      <c r="H2">
        <v>0.85706124728298405</v>
      </c>
      <c r="I2">
        <v>0.87497833687132098</v>
      </c>
      <c r="J2">
        <v>0.88885824463711904</v>
      </c>
      <c r="K2">
        <v>0.89999390162812098</v>
      </c>
      <c r="L2">
        <v>0.90908548149415402</v>
      </c>
      <c r="M2">
        <v>0.91665226904070796</v>
      </c>
      <c r="N2">
        <v>0.92309133280313005</v>
      </c>
      <c r="O2">
        <v>0.92860835538966302</v>
      </c>
      <c r="P2">
        <v>0.93333815431801304</v>
      </c>
      <c r="Q2">
        <v>0.93749628532610696</v>
      </c>
      <c r="V2">
        <v>1</v>
      </c>
      <c r="W2">
        <v>0.5</v>
      </c>
      <c r="X2">
        <v>0.66666666666666696</v>
      </c>
      <c r="Y2">
        <v>0.75</v>
      </c>
      <c r="Z2">
        <v>0.8</v>
      </c>
      <c r="AA2">
        <v>0.83333333333333304</v>
      </c>
      <c r="AB2">
        <v>0.85714285714285698</v>
      </c>
      <c r="AC2">
        <v>0.875</v>
      </c>
      <c r="AD2">
        <v>0.88888888888888895</v>
      </c>
      <c r="AE2">
        <v>0.9</v>
      </c>
      <c r="AF2">
        <v>0.90909090909090895</v>
      </c>
      <c r="AG2">
        <v>0.91666666666666696</v>
      </c>
      <c r="AH2">
        <v>0.92307692307692302</v>
      </c>
      <c r="AI2">
        <v>0.92857142857142905</v>
      </c>
      <c r="AJ2">
        <v>0.93333333333333302</v>
      </c>
      <c r="AK2">
        <v>0.9375</v>
      </c>
    </row>
    <row r="3" spans="1:37" x14ac:dyDescent="0.35">
      <c r="A3">
        <v>400137271</v>
      </c>
      <c r="B3">
        <v>2</v>
      </c>
      <c r="C3">
        <v>0.19994878072606401</v>
      </c>
      <c r="D3">
        <v>0.39996340977238698</v>
      </c>
      <c r="E3">
        <v>0.52930980491352497</v>
      </c>
      <c r="F3">
        <v>0.61529729379754305</v>
      </c>
      <c r="G3">
        <v>0.67550211580711805</v>
      </c>
      <c r="H3">
        <v>0.71997351957855305</v>
      </c>
      <c r="I3">
        <v>0.75386621980591095</v>
      </c>
      <c r="J3">
        <v>0.78050271463267695</v>
      </c>
      <c r="K3">
        <v>0.80197875873882496</v>
      </c>
      <c r="L3">
        <v>0.81968899672768003</v>
      </c>
      <c r="M3">
        <v>0.83449859002742899</v>
      </c>
      <c r="N3">
        <v>0.84701078924173201</v>
      </c>
      <c r="O3">
        <v>0.85785296274978995</v>
      </c>
      <c r="P3">
        <v>0.867264950375215</v>
      </c>
      <c r="Q3">
        <v>0.87545891672159004</v>
      </c>
      <c r="V3">
        <v>2</v>
      </c>
      <c r="W3">
        <v>0.2</v>
      </c>
      <c r="X3">
        <v>0.4</v>
      </c>
      <c r="Y3">
        <v>0.52941176470588203</v>
      </c>
      <c r="Z3">
        <v>0.61538461538461497</v>
      </c>
      <c r="AA3">
        <v>0.67567567567567599</v>
      </c>
      <c r="AB3">
        <v>0.72</v>
      </c>
      <c r="AC3">
        <v>0.75384615384615405</v>
      </c>
      <c r="AD3">
        <v>0.78048780487804903</v>
      </c>
      <c r="AE3">
        <v>0.80198019801980203</v>
      </c>
      <c r="AF3">
        <v>0.81967213114754101</v>
      </c>
      <c r="AG3">
        <v>0.83448275862068999</v>
      </c>
      <c r="AH3">
        <v>0.84705882352941197</v>
      </c>
      <c r="AI3">
        <v>0.85786802030456899</v>
      </c>
      <c r="AJ3">
        <v>0.86725663716814205</v>
      </c>
      <c r="AK3">
        <v>0.87548638132295697</v>
      </c>
    </row>
    <row r="4" spans="1:37" x14ac:dyDescent="0.35">
      <c r="A4">
        <v>400137271</v>
      </c>
      <c r="B4">
        <v>3</v>
      </c>
      <c r="C4">
        <v>6.2546960538196E-2</v>
      </c>
      <c r="D4">
        <v>0.21055991269425101</v>
      </c>
      <c r="E4">
        <v>0.34613201199716698</v>
      </c>
      <c r="F4">
        <v>0.45046398141073901</v>
      </c>
      <c r="G4">
        <v>0.52959135562194903</v>
      </c>
      <c r="H4">
        <v>0.59041947099572401</v>
      </c>
      <c r="I4">
        <v>0.63750485018510405</v>
      </c>
      <c r="J4">
        <v>0.67522273788541298</v>
      </c>
      <c r="K4">
        <v>0.70652797572869497</v>
      </c>
      <c r="L4">
        <v>0.73209181490291497</v>
      </c>
      <c r="M4">
        <v>0.75353906737722998</v>
      </c>
      <c r="N4">
        <v>0.77217404716361304</v>
      </c>
      <c r="O4">
        <v>0.78803625122006304</v>
      </c>
      <c r="P4">
        <v>0.80182377971877306</v>
      </c>
      <c r="Q4">
        <v>0.81409971577711204</v>
      </c>
      <c r="V4">
        <v>3</v>
      </c>
      <c r="W4">
        <v>6.25E-2</v>
      </c>
      <c r="X4">
        <v>0.21052631578947401</v>
      </c>
      <c r="Y4">
        <v>0.34615384615384598</v>
      </c>
      <c r="Z4">
        <v>0.45070422535211302</v>
      </c>
      <c r="AA4">
        <v>0.52966101694915302</v>
      </c>
      <c r="AB4">
        <v>0.59016393442623005</v>
      </c>
      <c r="AC4">
        <v>0.63754646840148699</v>
      </c>
      <c r="AD4">
        <v>0.67546174142480198</v>
      </c>
      <c r="AE4">
        <v>0.706395348837209</v>
      </c>
      <c r="AF4">
        <v>0.73206442166910701</v>
      </c>
      <c r="AG4">
        <v>0.75368063420158604</v>
      </c>
      <c r="AH4">
        <v>0.77211796246648801</v>
      </c>
      <c r="AI4">
        <v>0.78802008608321406</v>
      </c>
      <c r="AJ4">
        <v>0.80187025131502099</v>
      </c>
      <c r="AK4">
        <v>0.814037626628075</v>
      </c>
    </row>
    <row r="5" spans="1:37" x14ac:dyDescent="0.35">
      <c r="A5">
        <v>400137271</v>
      </c>
      <c r="B5">
        <v>4</v>
      </c>
      <c r="C5">
        <v>1.5365030239614001E-2</v>
      </c>
      <c r="D5">
        <v>9.5139952413420006E-2</v>
      </c>
      <c r="E5">
        <v>0.20600988406239201</v>
      </c>
      <c r="F5">
        <v>0.31093222917146901</v>
      </c>
      <c r="G5">
        <v>0.39846215693480003</v>
      </c>
      <c r="H5">
        <v>0.46921460967532502</v>
      </c>
      <c r="I5">
        <v>0.527250747877274</v>
      </c>
      <c r="J5">
        <v>0.57460328790721704</v>
      </c>
      <c r="K5">
        <v>0.61386512744069999</v>
      </c>
      <c r="L5">
        <v>0.64668342682382396</v>
      </c>
      <c r="M5">
        <v>0.67442519943243195</v>
      </c>
      <c r="N5">
        <v>0.69843910317263702</v>
      </c>
      <c r="O5">
        <v>0.71912215250336797</v>
      </c>
      <c r="P5">
        <v>0.73727868297212795</v>
      </c>
      <c r="Q5">
        <v>0.75335646602344497</v>
      </c>
      <c r="V5">
        <v>4</v>
      </c>
      <c r="W5">
        <v>1.5384615384615E-2</v>
      </c>
      <c r="X5">
        <v>9.5238095238094997E-2</v>
      </c>
      <c r="Y5">
        <v>0.206106870229008</v>
      </c>
      <c r="Z5">
        <v>0.31067961165048502</v>
      </c>
      <c r="AA5">
        <v>0.39834289356277902</v>
      </c>
      <c r="AB5">
        <v>0.46956521739130402</v>
      </c>
      <c r="AC5">
        <v>0.52734460795080196</v>
      </c>
      <c r="AD5">
        <v>0.57463524130190802</v>
      </c>
      <c r="AE5">
        <v>0.61380858826831297</v>
      </c>
      <c r="AF5">
        <v>0.64666321779617197</v>
      </c>
      <c r="AG5">
        <v>0.67454503570605895</v>
      </c>
      <c r="AH5">
        <v>0.698464025869038</v>
      </c>
      <c r="AI5">
        <v>0.71918515347619205</v>
      </c>
      <c r="AJ5">
        <v>0.73729464148625801</v>
      </c>
      <c r="AK5">
        <v>0.75324733294648005</v>
      </c>
    </row>
    <row r="6" spans="1:37" x14ac:dyDescent="0.35">
      <c r="A6">
        <v>400137271</v>
      </c>
      <c r="B6">
        <v>5</v>
      </c>
      <c r="C6">
        <v>3.0543424111550001E-3</v>
      </c>
      <c r="D6">
        <v>3.6731905905304001E-2</v>
      </c>
      <c r="E6">
        <v>0.109932008609804</v>
      </c>
      <c r="F6">
        <v>0.198780046840907</v>
      </c>
      <c r="G6">
        <v>0.28473502695153402</v>
      </c>
      <c r="H6">
        <v>0.36022539506225998</v>
      </c>
      <c r="I6">
        <v>0.42445208579919502</v>
      </c>
      <c r="J6">
        <v>0.47900432337712601</v>
      </c>
      <c r="K6">
        <v>0.52482814704054104</v>
      </c>
      <c r="L6">
        <v>0.56385334888747995</v>
      </c>
      <c r="M6">
        <v>0.59745572799740199</v>
      </c>
      <c r="N6">
        <v>0.62636613111623096</v>
      </c>
      <c r="O6">
        <v>0.65149074426003795</v>
      </c>
      <c r="P6">
        <v>0.67356108708303797</v>
      </c>
      <c r="Q6">
        <v>0.69323432494592296</v>
      </c>
      <c r="V6">
        <v>5</v>
      </c>
      <c r="W6">
        <v>3.0674846625769999E-3</v>
      </c>
      <c r="X6">
        <v>3.6697247706422E-2</v>
      </c>
      <c r="Y6">
        <v>0.110054347826087</v>
      </c>
      <c r="Z6">
        <v>0.199066874027994</v>
      </c>
      <c r="AA6">
        <v>0.28486782133090299</v>
      </c>
      <c r="AB6">
        <v>0.36040044493882101</v>
      </c>
      <c r="AC6">
        <v>0.42471949863539898</v>
      </c>
      <c r="AD6">
        <v>0.47900830312244203</v>
      </c>
      <c r="AE6">
        <v>0.52490799509307196</v>
      </c>
      <c r="AF6">
        <v>0.563952176855403</v>
      </c>
      <c r="AG6">
        <v>0.597423361130071</v>
      </c>
      <c r="AH6">
        <v>0.62635171872168205</v>
      </c>
      <c r="AI6">
        <v>0.65155354491820805</v>
      </c>
      <c r="AJ6">
        <v>0.67367450622789204</v>
      </c>
      <c r="AK6">
        <v>0.69322725529933704</v>
      </c>
    </row>
    <row r="7" spans="1:37" x14ac:dyDescent="0.35">
      <c r="A7">
        <v>400137271</v>
      </c>
      <c r="B7">
        <v>6</v>
      </c>
      <c r="C7">
        <v>5.09540134531E-4</v>
      </c>
      <c r="D7">
        <v>1.2050313886309E-2</v>
      </c>
      <c r="E7">
        <v>5.1928604177655997E-2</v>
      </c>
      <c r="F7">
        <v>0.11717081936146199</v>
      </c>
      <c r="G7">
        <v>0.19188914082181299</v>
      </c>
      <c r="H7">
        <v>0.264946376740965</v>
      </c>
      <c r="I7">
        <v>0.33114819536163498</v>
      </c>
      <c r="J7">
        <v>0.38968503427130802</v>
      </c>
      <c r="K7">
        <v>0.44064049092945901</v>
      </c>
      <c r="L7">
        <v>0.48452362867760601</v>
      </c>
      <c r="M7">
        <v>0.52293243990691796</v>
      </c>
      <c r="N7">
        <v>0.55594286692733397</v>
      </c>
      <c r="O7">
        <v>0.58539356351193195</v>
      </c>
      <c r="P7">
        <v>0.61128990039153197</v>
      </c>
      <c r="Q7">
        <v>0.63410875284969703</v>
      </c>
      <c r="V7">
        <v>6</v>
      </c>
      <c r="W7">
        <v>5.1098620337300003E-4</v>
      </c>
      <c r="X7">
        <v>1.2084592145015E-2</v>
      </c>
      <c r="Y7">
        <v>5.2157115260786001E-2</v>
      </c>
      <c r="Z7">
        <v>0.117162471395881</v>
      </c>
      <c r="AA7">
        <v>0.191847258886365</v>
      </c>
      <c r="AB7">
        <v>0.26492232215862599</v>
      </c>
      <c r="AC7">
        <v>0.33133003455549598</v>
      </c>
      <c r="AD7">
        <v>0.38975188524395199</v>
      </c>
      <c r="AE7">
        <v>0.44051624454474297</v>
      </c>
      <c r="AF7">
        <v>0.48451490367843703</v>
      </c>
      <c r="AG7">
        <v>0.52273594378546995</v>
      </c>
      <c r="AH7">
        <v>0.55608892702941903</v>
      </c>
      <c r="AI7">
        <v>0.585354616814034</v>
      </c>
      <c r="AJ7">
        <v>0.61118347998311595</v>
      </c>
      <c r="AK7">
        <v>0.63411084194889</v>
      </c>
    </row>
    <row r="8" spans="1:37" x14ac:dyDescent="0.35">
      <c r="A8">
        <v>400137271</v>
      </c>
      <c r="B8">
        <v>7</v>
      </c>
      <c r="C8">
        <v>7.0395037150000001E-5</v>
      </c>
      <c r="D8">
        <v>3.4099315552110002E-3</v>
      </c>
      <c r="E8">
        <v>2.1823789433938999E-2</v>
      </c>
      <c r="F8">
        <v>6.2681728365461001E-2</v>
      </c>
      <c r="G8">
        <v>0.120321177614895</v>
      </c>
      <c r="H8">
        <v>0.18502955610787</v>
      </c>
      <c r="I8">
        <v>0.24887329149709</v>
      </c>
      <c r="J8">
        <v>0.30799263870691002</v>
      </c>
      <c r="K8">
        <v>0.36152786290734501</v>
      </c>
      <c r="L8">
        <v>0.40927348110390699</v>
      </c>
      <c r="M8">
        <v>0.45108416301912302</v>
      </c>
      <c r="N8">
        <v>0.48779936252571299</v>
      </c>
      <c r="O8">
        <v>0.52070592306471997</v>
      </c>
      <c r="P8">
        <v>0.55004947428037099</v>
      </c>
      <c r="Q8">
        <v>0.57589468249862197</v>
      </c>
      <c r="V8">
        <v>7</v>
      </c>
      <c r="W8">
        <v>7.2992700729999994E-5</v>
      </c>
      <c r="X8">
        <v>3.4408602150539998E-3</v>
      </c>
      <c r="Y8">
        <v>2.1864315278027999E-2</v>
      </c>
      <c r="Z8">
        <v>6.2748942949936007E-2</v>
      </c>
      <c r="AA8">
        <v>0.12051863507343</v>
      </c>
      <c r="AB8">
        <v>0.18505473584007601</v>
      </c>
      <c r="AC8">
        <v>0.24887144881856499</v>
      </c>
      <c r="AD8">
        <v>0.30816469996308798</v>
      </c>
      <c r="AE8">
        <v>0.36158450790471403</v>
      </c>
      <c r="AF8">
        <v>0.40904078300222901</v>
      </c>
      <c r="AG8">
        <v>0.450984499294034</v>
      </c>
      <c r="AH8">
        <v>0.48804464014278598</v>
      </c>
      <c r="AI8">
        <v>0.52086332276518899</v>
      </c>
      <c r="AJ8">
        <v>0.55002930748430701</v>
      </c>
      <c r="AK8">
        <v>0.57605722953624705</v>
      </c>
    </row>
    <row r="9" spans="1:37" x14ac:dyDescent="0.35">
      <c r="A9">
        <v>400137271</v>
      </c>
      <c r="B9">
        <v>8</v>
      </c>
      <c r="C9">
        <v>8.4999277509999993E-6</v>
      </c>
      <c r="D9">
        <v>8.24519524037E-4</v>
      </c>
      <c r="E9">
        <v>8.0975912649130007E-3</v>
      </c>
      <c r="F9">
        <v>3.0398917925733002E-2</v>
      </c>
      <c r="G9">
        <v>7.0007204649141994E-2</v>
      </c>
      <c r="H9">
        <v>0.12188041525208999</v>
      </c>
      <c r="I9">
        <v>0.17885513400914599</v>
      </c>
      <c r="J9">
        <v>0.235312209251509</v>
      </c>
      <c r="K9">
        <v>0.28915079240793701</v>
      </c>
      <c r="L9">
        <v>0.33810734253116598</v>
      </c>
      <c r="M9">
        <v>0.38272845805615002</v>
      </c>
      <c r="N9">
        <v>0.42252501273909199</v>
      </c>
      <c r="O9">
        <v>0.45842906722098897</v>
      </c>
      <c r="P9">
        <v>0.49041520074085398</v>
      </c>
      <c r="Q9">
        <v>0.51928317287497605</v>
      </c>
      <c r="V9">
        <v>8</v>
      </c>
      <c r="W9">
        <v>9.1240043430000004E-6</v>
      </c>
      <c r="X9">
        <v>8.5947571981100004E-4</v>
      </c>
      <c r="Y9">
        <v>8.1324393971509996E-3</v>
      </c>
      <c r="Z9">
        <v>3.0420058225892999E-2</v>
      </c>
      <c r="AA9">
        <v>7.0047852209566996E-2</v>
      </c>
      <c r="AB9">
        <v>0.121875783666305</v>
      </c>
      <c r="AC9">
        <v>0.17882182654515399</v>
      </c>
      <c r="AD9">
        <v>0.23557026112368201</v>
      </c>
      <c r="AE9">
        <v>0.28915809711095802</v>
      </c>
      <c r="AF9">
        <v>0.33831843288736702</v>
      </c>
      <c r="AG9">
        <v>0.38275555551492402</v>
      </c>
      <c r="AH9">
        <v>0.42265511497526298</v>
      </c>
      <c r="AI9">
        <v>0.45840639641848802</v>
      </c>
      <c r="AJ9">
        <v>0.49045917624431501</v>
      </c>
      <c r="AK9">
        <v>0.51925557041534698</v>
      </c>
    </row>
    <row r="10" spans="1:37" x14ac:dyDescent="0.35">
      <c r="A10">
        <v>400137271</v>
      </c>
      <c r="B10">
        <v>9</v>
      </c>
      <c r="C10">
        <v>7.9999935999999997E-7</v>
      </c>
      <c r="D10">
        <v>1.8936413443299999E-4</v>
      </c>
      <c r="E10">
        <v>2.701978448997E-3</v>
      </c>
      <c r="F10">
        <v>1.3392991479959E-2</v>
      </c>
      <c r="G10">
        <v>3.7387659563777001E-2</v>
      </c>
      <c r="H10">
        <v>7.5016758377177001E-2</v>
      </c>
      <c r="I10">
        <v>0.122108028053899</v>
      </c>
      <c r="J10">
        <v>0.17287454462621701</v>
      </c>
      <c r="K10">
        <v>0.22422642403476101</v>
      </c>
      <c r="L10">
        <v>0.27316711208170702</v>
      </c>
      <c r="M10">
        <v>0.318813930545091</v>
      </c>
      <c r="N10">
        <v>0.36007599732895901</v>
      </c>
      <c r="O10">
        <v>0.398371091032097</v>
      </c>
      <c r="P10">
        <v>0.43248323741267303</v>
      </c>
      <c r="Q10">
        <v>0.46382499862471199</v>
      </c>
      <c r="V10">
        <v>9</v>
      </c>
      <c r="W10">
        <v>1.013777233E-6</v>
      </c>
      <c r="X10">
        <v>1.90958132429E-4</v>
      </c>
      <c r="Y10">
        <v>2.7034844911220002E-3</v>
      </c>
      <c r="Z10">
        <v>1.3339673151954E-2</v>
      </c>
      <c r="AA10">
        <v>3.7457785974193997E-2</v>
      </c>
      <c r="AB10">
        <v>7.5144955546966E-2</v>
      </c>
      <c r="AC10">
        <v>0.122101343250098</v>
      </c>
      <c r="AD10">
        <v>0.173140827677012</v>
      </c>
      <c r="AE10">
        <v>0.224299950300099</v>
      </c>
      <c r="AF10">
        <v>0.273207943855374</v>
      </c>
      <c r="AG10">
        <v>0.31871400116121001</v>
      </c>
      <c r="AH10">
        <v>0.36042576336195797</v>
      </c>
      <c r="AI10">
        <v>0.39836689314018497</v>
      </c>
      <c r="AJ10">
        <v>0.43276459358952202</v>
      </c>
      <c r="AK10">
        <v>0.46392940463334498</v>
      </c>
    </row>
    <row r="11" spans="1:37" x14ac:dyDescent="0.35">
      <c r="A11">
        <v>400137271</v>
      </c>
      <c r="B11">
        <v>10</v>
      </c>
      <c r="C11">
        <v>9.9999980000000002E-8</v>
      </c>
      <c r="D11">
        <v>3.9598431902E-5</v>
      </c>
      <c r="E11">
        <v>7.9926051166499996E-4</v>
      </c>
      <c r="F11">
        <v>5.3184627117269997E-3</v>
      </c>
      <c r="G11">
        <v>1.8404315405287999E-2</v>
      </c>
      <c r="H11">
        <v>4.3193935689651998E-2</v>
      </c>
      <c r="I11">
        <v>7.8752779286319005E-2</v>
      </c>
      <c r="J11">
        <v>0.12174387836089801</v>
      </c>
      <c r="K11">
        <v>0.16754996508290099</v>
      </c>
      <c r="L11">
        <v>0.214480910051598</v>
      </c>
      <c r="M11">
        <v>0.25936507943561599</v>
      </c>
      <c r="N11">
        <v>0.30204041321962199</v>
      </c>
      <c r="O11">
        <v>0.34108917114857601</v>
      </c>
      <c r="P11">
        <v>0.37669897732569402</v>
      </c>
      <c r="Q11">
        <v>0.41012012541309301</v>
      </c>
      <c r="V11">
        <v>10</v>
      </c>
      <c r="W11">
        <v>1.01377713E-7</v>
      </c>
      <c r="X11">
        <v>3.8190167941E-5</v>
      </c>
      <c r="Y11">
        <v>8.1038808584999995E-4</v>
      </c>
      <c r="Z11">
        <v>5.3075488738950002E-3</v>
      </c>
      <c r="AA11">
        <v>1.8384570336648001E-2</v>
      </c>
      <c r="AB11">
        <v>4.3141838410438997E-2</v>
      </c>
      <c r="AC11">
        <v>7.8740882969570006E-2</v>
      </c>
      <c r="AD11">
        <v>0.12166106425295201</v>
      </c>
      <c r="AE11">
        <v>0.167963226291587</v>
      </c>
      <c r="AF11">
        <v>0.214582343107348</v>
      </c>
      <c r="AG11">
        <v>0.25958032786801999</v>
      </c>
      <c r="AH11">
        <v>0.30192504028638001</v>
      </c>
      <c r="AI11">
        <v>0.34118507254566699</v>
      </c>
      <c r="AJ11">
        <v>0.37728475431139802</v>
      </c>
      <c r="AK11">
        <v>0.41034054195845399</v>
      </c>
    </row>
    <row r="12" spans="1:37" x14ac:dyDescent="0.35">
      <c r="A12">
        <v>400137271</v>
      </c>
      <c r="B12">
        <v>11</v>
      </c>
      <c r="C12">
        <v>0</v>
      </c>
      <c r="D12">
        <v>5.8999640099999999E-6</v>
      </c>
      <c r="E12">
        <v>2.3834315515700001E-4</v>
      </c>
      <c r="F12">
        <v>1.919905142553E-3</v>
      </c>
      <c r="G12">
        <v>8.2241975521199998E-3</v>
      </c>
      <c r="H12">
        <v>2.2933688985293001E-2</v>
      </c>
      <c r="I12">
        <v>4.7715251004040997E-2</v>
      </c>
      <c r="J12">
        <v>8.1227185736244004E-2</v>
      </c>
      <c r="K12">
        <v>0.12080504636298101</v>
      </c>
      <c r="L12">
        <v>0.16327682386734901</v>
      </c>
      <c r="M12">
        <v>0.206135614156813</v>
      </c>
      <c r="N12">
        <v>0.24765111198968701</v>
      </c>
      <c r="O12">
        <v>0.28704259545920702</v>
      </c>
      <c r="P12">
        <v>0.32433720573388602</v>
      </c>
      <c r="Q12">
        <v>0.35852299811425198</v>
      </c>
      <c r="V12">
        <v>11</v>
      </c>
      <c r="W12">
        <v>9.2161559999999997E-9</v>
      </c>
      <c r="X12">
        <v>6.9436186840000003E-6</v>
      </c>
      <c r="Y12">
        <v>2.2096609569799999E-4</v>
      </c>
      <c r="Z12">
        <v>1.926299979131E-3</v>
      </c>
      <c r="AA12">
        <v>8.2873684673429992E-3</v>
      </c>
      <c r="AB12">
        <v>2.2990892211139001E-2</v>
      </c>
      <c r="AC12">
        <v>4.7716846751528999E-2</v>
      </c>
      <c r="AD12">
        <v>8.1288320488031002E-2</v>
      </c>
      <c r="AE12">
        <v>0.120820734004337</v>
      </c>
      <c r="AF12">
        <v>0.16323233324443401</v>
      </c>
      <c r="AG12">
        <v>0.206084774527551</v>
      </c>
      <c r="AH12">
        <v>0.247765546543321</v>
      </c>
      <c r="AI12">
        <v>0.28735272395464401</v>
      </c>
      <c r="AJ12">
        <v>0.32440676331346402</v>
      </c>
      <c r="AK12">
        <v>0.35879156709229099</v>
      </c>
    </row>
    <row r="13" spans="1:37" x14ac:dyDescent="0.35">
      <c r="A13">
        <v>400137271</v>
      </c>
      <c r="B13">
        <v>12</v>
      </c>
      <c r="C13">
        <v>0</v>
      </c>
      <c r="D13">
        <v>7.9999928E-7</v>
      </c>
      <c r="E13">
        <v>5.5596903252999998E-5</v>
      </c>
      <c r="F13">
        <v>6.4887855338E-4</v>
      </c>
      <c r="G13">
        <v>3.3874835720999999E-3</v>
      </c>
      <c r="H13">
        <v>1.13683716835E-2</v>
      </c>
      <c r="I13">
        <v>2.7061689919562999E-2</v>
      </c>
      <c r="J13">
        <v>5.1387349634343001E-2</v>
      </c>
      <c r="K13">
        <v>8.3267596006824998E-2</v>
      </c>
      <c r="L13">
        <v>0.119693195718015</v>
      </c>
      <c r="M13">
        <v>0.15874873034228301</v>
      </c>
      <c r="N13">
        <v>0.19845107221500499</v>
      </c>
      <c r="O13">
        <v>0.237452887012787</v>
      </c>
      <c r="P13">
        <v>0.27426919169425201</v>
      </c>
      <c r="Q13">
        <v>0.30917373530907599</v>
      </c>
      <c r="V13">
        <v>12</v>
      </c>
      <c r="W13">
        <v>7.6801300000000004E-10</v>
      </c>
      <c r="X13">
        <v>1.1572684410000001E-6</v>
      </c>
      <c r="Y13">
        <v>5.5238472467000001E-5</v>
      </c>
      <c r="Z13">
        <v>6.4168796520600003E-4</v>
      </c>
      <c r="AA13">
        <v>3.441187532623E-3</v>
      </c>
      <c r="AB13">
        <v>1.1364802629442E-2</v>
      </c>
      <c r="AC13">
        <v>2.7081031439272998E-2</v>
      </c>
      <c r="AD13">
        <v>5.1406387712357997E-2</v>
      </c>
      <c r="AE13">
        <v>8.3086611465827007E-2</v>
      </c>
      <c r="AF13">
        <v>0.11973918844482501</v>
      </c>
      <c r="AG13">
        <v>0.158894178314538</v>
      </c>
      <c r="AH13">
        <v>0.19856738890547501</v>
      </c>
      <c r="AI13">
        <v>0.237397294968231</v>
      </c>
      <c r="AJ13">
        <v>0.27456042276766701</v>
      </c>
      <c r="AK13">
        <v>0.30962562835402102</v>
      </c>
    </row>
    <row r="14" spans="1:37" x14ac:dyDescent="0.35">
      <c r="A14">
        <v>400137271</v>
      </c>
      <c r="B14">
        <v>13</v>
      </c>
      <c r="C14">
        <v>0</v>
      </c>
      <c r="D14">
        <v>9.9999980000000002E-8</v>
      </c>
      <c r="E14">
        <v>1.2499837502E-5</v>
      </c>
      <c r="F14">
        <v>2.04058290485E-4</v>
      </c>
      <c r="G14">
        <v>1.3214509275520001E-3</v>
      </c>
      <c r="H14">
        <v>5.2690849150289999E-3</v>
      </c>
      <c r="I14">
        <v>1.445682844647E-2</v>
      </c>
      <c r="J14">
        <v>3.0636520514529999E-2</v>
      </c>
      <c r="K14">
        <v>5.4405119823287003E-2</v>
      </c>
      <c r="L14">
        <v>8.4124130376643999E-2</v>
      </c>
      <c r="M14">
        <v>0.118256788709186</v>
      </c>
      <c r="N14">
        <v>0.154709324720845</v>
      </c>
      <c r="O14">
        <v>0.191363429573398</v>
      </c>
      <c r="P14">
        <v>0.22777864051969199</v>
      </c>
      <c r="Q14">
        <v>0.263395868008935</v>
      </c>
      <c r="V14">
        <v>13</v>
      </c>
      <c r="W14">
        <v>5.9078E-11</v>
      </c>
      <c r="X14">
        <v>1.7804126699999999E-7</v>
      </c>
      <c r="Y14">
        <v>1.2747177307E-5</v>
      </c>
      <c r="Z14">
        <v>1.9740347500700001E-4</v>
      </c>
      <c r="AA14">
        <v>1.3217842404509999E-3</v>
      </c>
      <c r="AB14">
        <v>5.2179239784420003E-3</v>
      </c>
      <c r="AC14">
        <v>1.4372512525383E-2</v>
      </c>
      <c r="AD14">
        <v>3.0664633640837002E-2</v>
      </c>
      <c r="AE14">
        <v>5.4392747790201E-2</v>
      </c>
      <c r="AF14">
        <v>8.4338862672366996E-2</v>
      </c>
      <c r="AG14">
        <v>0.118514741147615</v>
      </c>
      <c r="AH14">
        <v>0.15490075437252501</v>
      </c>
      <c r="AI14">
        <v>0.19185212052231401</v>
      </c>
      <c r="AJ14">
        <v>0.22820476613770899</v>
      </c>
      <c r="AK14">
        <v>0.26322167514374101</v>
      </c>
    </row>
    <row r="15" spans="1:37" x14ac:dyDescent="0.35">
      <c r="A15">
        <v>400137271</v>
      </c>
      <c r="B15">
        <v>14</v>
      </c>
      <c r="C15">
        <v>0</v>
      </c>
      <c r="D15">
        <v>9.9999980000000002E-8</v>
      </c>
      <c r="E15">
        <v>1.79999604E-6</v>
      </c>
      <c r="F15">
        <v>6.0696303595E-5</v>
      </c>
      <c r="G15">
        <v>4.8826114264900001E-4</v>
      </c>
      <c r="H15">
        <v>2.237181777555E-3</v>
      </c>
      <c r="I15">
        <v>7.1194471563859997E-3</v>
      </c>
      <c r="J15">
        <v>1.7313345772820999E-2</v>
      </c>
      <c r="K15">
        <v>3.3830691280267999E-2</v>
      </c>
      <c r="L15">
        <v>5.6868058438654001E-2</v>
      </c>
      <c r="M15">
        <v>8.5213165787175998E-2</v>
      </c>
      <c r="N15">
        <v>0.116899406053806</v>
      </c>
      <c r="O15">
        <v>0.151008460957164</v>
      </c>
      <c r="P15">
        <v>0.18583310740231401</v>
      </c>
      <c r="Q15">
        <v>0.219837389341868</v>
      </c>
      <c r="V15">
        <v>14</v>
      </c>
      <c r="W15">
        <v>4.2200000000000002E-12</v>
      </c>
      <c r="X15">
        <v>2.5434466000000001E-8</v>
      </c>
      <c r="Y15">
        <v>2.7315305330000001E-6</v>
      </c>
      <c r="Z15">
        <v>5.6397811965999999E-5</v>
      </c>
      <c r="AA15">
        <v>4.7184305919000002E-4</v>
      </c>
      <c r="AB15">
        <v>2.2312634637060001E-3</v>
      </c>
      <c r="AC15">
        <v>7.134982450373E-3</v>
      </c>
      <c r="AD15">
        <v>1.7220892166617E-2</v>
      </c>
      <c r="AE15">
        <v>3.3785400237488002E-2</v>
      </c>
      <c r="AF15">
        <v>5.6819143386520998E-2</v>
      </c>
      <c r="AG15">
        <v>8.5186286760796995E-2</v>
      </c>
      <c r="AH15">
        <v>0.117209876625682</v>
      </c>
      <c r="AI15">
        <v>0.151210490958996</v>
      </c>
      <c r="AJ15">
        <v>0.185803517808627</v>
      </c>
      <c r="AK15">
        <v>0.21998292872365199</v>
      </c>
    </row>
    <row r="16" spans="1:37" x14ac:dyDescent="0.35">
      <c r="A16">
        <v>400137271</v>
      </c>
      <c r="B16">
        <v>15</v>
      </c>
      <c r="C16">
        <v>0</v>
      </c>
      <c r="D16">
        <v>0</v>
      </c>
      <c r="E16">
        <v>2.9999987999999997E-7</v>
      </c>
      <c r="F16">
        <v>1.5099768973999999E-5</v>
      </c>
      <c r="G16">
        <v>1.6847156200000001E-4</v>
      </c>
      <c r="H16">
        <v>8.9090513443899997E-4</v>
      </c>
      <c r="I16">
        <v>3.3444756054210002E-3</v>
      </c>
      <c r="J16">
        <v>9.0278499673030008E-3</v>
      </c>
      <c r="K16">
        <v>1.9853536831178999E-2</v>
      </c>
      <c r="L16">
        <v>3.6409436667043001E-2</v>
      </c>
      <c r="M16">
        <v>5.8810120232229E-2</v>
      </c>
      <c r="N16">
        <v>8.5692624492400005E-2</v>
      </c>
      <c r="O16">
        <v>0.11575433845770799</v>
      </c>
      <c r="P16">
        <v>0.14774417933351799</v>
      </c>
      <c r="Q16">
        <v>0.18014189432598099</v>
      </c>
      <c r="V16">
        <v>15</v>
      </c>
      <c r="W16">
        <v>2.8100000000000001E-13</v>
      </c>
      <c r="X16">
        <v>3.3912619999999999E-9</v>
      </c>
      <c r="Y16">
        <v>5.4630580799999996E-7</v>
      </c>
      <c r="Z16">
        <v>1.5039190344E-5</v>
      </c>
      <c r="AA16">
        <v>1.5725628630100001E-4</v>
      </c>
      <c r="AB16">
        <v>8.9170952992400005E-4</v>
      </c>
      <c r="AC16">
        <v>3.3186086434399999E-3</v>
      </c>
      <c r="AD16">
        <v>9.1008889278770006E-3</v>
      </c>
      <c r="AE16">
        <v>1.9868481385069001E-2</v>
      </c>
      <c r="AF16">
        <v>3.6496945472370999E-2</v>
      </c>
      <c r="AG16">
        <v>5.8796904326037E-2</v>
      </c>
      <c r="AH16">
        <v>8.5729249495301002E-2</v>
      </c>
      <c r="AI16">
        <v>0.115865078777153</v>
      </c>
      <c r="AJ16">
        <v>0.14778776281582201</v>
      </c>
      <c r="AK16">
        <v>0.18031639914322301</v>
      </c>
    </row>
    <row r="17" spans="1:37" x14ac:dyDescent="0.35">
      <c r="A17">
        <v>400137271</v>
      </c>
      <c r="B17">
        <v>16</v>
      </c>
      <c r="C17">
        <v>0</v>
      </c>
      <c r="D17">
        <v>0</v>
      </c>
      <c r="E17">
        <v>9.9999970000000006E-8</v>
      </c>
      <c r="F17">
        <v>2.9999904E-6</v>
      </c>
      <c r="G17">
        <v>5.1497306691000001E-5</v>
      </c>
      <c r="H17">
        <v>3.4338170500300001E-4</v>
      </c>
      <c r="I17">
        <v>1.448596637682E-3</v>
      </c>
      <c r="J17">
        <v>4.5490105668089999E-3</v>
      </c>
      <c r="K17">
        <v>1.1052564382638999E-2</v>
      </c>
      <c r="L17">
        <v>2.2310555280065002E-2</v>
      </c>
      <c r="M17">
        <v>3.8855281973543002E-2</v>
      </c>
      <c r="N17">
        <v>6.0341589819153003E-2</v>
      </c>
      <c r="O17">
        <v>8.5759914076162999E-2</v>
      </c>
      <c r="P17">
        <v>0.114343929666225</v>
      </c>
      <c r="Q17">
        <v>0.144593249873678</v>
      </c>
      <c r="V17">
        <v>16</v>
      </c>
      <c r="W17">
        <v>1.7999999999999999E-14</v>
      </c>
      <c r="X17">
        <v>4.2390800000000002E-10</v>
      </c>
      <c r="Y17">
        <v>1.02432329E-7</v>
      </c>
      <c r="Z17">
        <v>3.7597834499999999E-6</v>
      </c>
      <c r="AA17">
        <v>4.9140174593999997E-5</v>
      </c>
      <c r="AB17">
        <v>3.3427929370999999E-4</v>
      </c>
      <c r="AC17">
        <v>1.4497863493439999E-3</v>
      </c>
      <c r="AD17">
        <v>4.5298317162829997E-3</v>
      </c>
      <c r="AE17">
        <v>1.1052497833652E-2</v>
      </c>
      <c r="AF17">
        <v>2.2301872040364001E-2</v>
      </c>
      <c r="AG17">
        <v>3.8852348235254998E-2</v>
      </c>
      <c r="AH17">
        <v>6.0412592462565001E-2</v>
      </c>
      <c r="AI17">
        <v>8.6040492178000999E-2</v>
      </c>
      <c r="AJ17">
        <v>0.114506912138442</v>
      </c>
      <c r="AK17">
        <v>0.14460212338658401</v>
      </c>
    </row>
    <row r="18" spans="1:37" x14ac:dyDescent="0.35">
      <c r="A18">
        <v>400137271</v>
      </c>
      <c r="B18">
        <v>17</v>
      </c>
      <c r="C18">
        <v>0</v>
      </c>
      <c r="D18">
        <v>0</v>
      </c>
      <c r="E18">
        <v>0</v>
      </c>
      <c r="F18">
        <v>5.9999946000000003E-7</v>
      </c>
      <c r="G18">
        <v>1.5299762854000001E-5</v>
      </c>
      <c r="H18">
        <v>1.19685649691E-4</v>
      </c>
      <c r="I18">
        <v>6.07530257085E-4</v>
      </c>
      <c r="J18">
        <v>2.1297527648719999E-3</v>
      </c>
      <c r="K18">
        <v>5.8424586125210001E-3</v>
      </c>
      <c r="L18">
        <v>1.2972979268600001E-2</v>
      </c>
      <c r="M18">
        <v>2.4586147154225E-2</v>
      </c>
      <c r="N18">
        <v>4.0980944889653002E-2</v>
      </c>
      <c r="O18">
        <v>6.1638573083571999E-2</v>
      </c>
      <c r="P18">
        <v>8.5885637620309999E-2</v>
      </c>
      <c r="Q18">
        <v>0.112718429605782</v>
      </c>
      <c r="V18">
        <v>17</v>
      </c>
      <c r="W18">
        <v>1.0000000000000001E-15</v>
      </c>
      <c r="X18">
        <v>4.9872000000000002E-11</v>
      </c>
      <c r="Y18">
        <v>1.8076293E-8</v>
      </c>
      <c r="Z18">
        <v>8.8465414699999998E-7</v>
      </c>
      <c r="AA18">
        <v>1.4452783642E-5</v>
      </c>
      <c r="AB18">
        <v>1.1796700933499999E-4</v>
      </c>
      <c r="AC18">
        <v>5.9661468815299995E-4</v>
      </c>
      <c r="AD18">
        <v>2.1271510963670002E-3</v>
      </c>
      <c r="AE18">
        <v>5.8172835808990003E-3</v>
      </c>
      <c r="AF18">
        <v>1.2948875224726999E-2</v>
      </c>
      <c r="AG18">
        <v>2.4523246341982E-2</v>
      </c>
      <c r="AH18">
        <v>4.0900034367945003E-2</v>
      </c>
      <c r="AI18">
        <v>6.1733850409495E-2</v>
      </c>
      <c r="AJ18">
        <v>8.6173651073445004E-2</v>
      </c>
      <c r="AK18">
        <v>0.11315291599916601</v>
      </c>
    </row>
    <row r="19" spans="1:37" x14ac:dyDescent="0.35">
      <c r="A19">
        <v>400137271</v>
      </c>
      <c r="B19">
        <v>18</v>
      </c>
      <c r="C19">
        <v>0</v>
      </c>
      <c r="D19">
        <v>0</v>
      </c>
      <c r="E19">
        <v>0</v>
      </c>
      <c r="F19">
        <v>0</v>
      </c>
      <c r="G19">
        <v>5.3999686799999999E-6</v>
      </c>
      <c r="H19">
        <v>4.2898121061999999E-5</v>
      </c>
      <c r="I19">
        <v>2.38442964443E-4</v>
      </c>
      <c r="J19">
        <v>9.3642191716799997E-4</v>
      </c>
      <c r="K19">
        <v>2.90900889394E-3</v>
      </c>
      <c r="L19">
        <v>7.1144187864180001E-3</v>
      </c>
      <c r="M19">
        <v>1.4827138225285001E-2</v>
      </c>
      <c r="N19">
        <v>2.6750032555169001E-2</v>
      </c>
      <c r="O19">
        <v>4.2692320689582001E-2</v>
      </c>
      <c r="P19">
        <v>6.2955338555099993E-2</v>
      </c>
      <c r="Q19">
        <v>8.6012099174514994E-2</v>
      </c>
      <c r="V19">
        <v>18</v>
      </c>
      <c r="W19">
        <v>0</v>
      </c>
      <c r="X19">
        <v>5.5409999999999999E-12</v>
      </c>
      <c r="Y19">
        <v>3.012715E-9</v>
      </c>
      <c r="Z19">
        <v>1.9658977200000001E-7</v>
      </c>
      <c r="AA19">
        <v>4.0146460050000004E-6</v>
      </c>
      <c r="AB19">
        <v>3.9320790258999999E-5</v>
      </c>
      <c r="AC19">
        <v>2.3196300385099999E-4</v>
      </c>
      <c r="AD19">
        <v>9.4450754937699998E-4</v>
      </c>
      <c r="AE19">
        <v>2.9002061297000001E-3</v>
      </c>
      <c r="AF19">
        <v>7.1424381578999996E-3</v>
      </c>
      <c r="AG19">
        <v>1.4765151436461999E-2</v>
      </c>
      <c r="AH19">
        <v>2.6542951168614999E-2</v>
      </c>
      <c r="AI19">
        <v>4.2682534006686999E-2</v>
      </c>
      <c r="AJ19">
        <v>6.2813914141718996E-2</v>
      </c>
      <c r="AK19">
        <v>8.6168879968612999E-2</v>
      </c>
    </row>
    <row r="20" spans="1:37" x14ac:dyDescent="0.35">
      <c r="A20">
        <v>400137271</v>
      </c>
      <c r="B20">
        <v>19</v>
      </c>
      <c r="C20">
        <v>0</v>
      </c>
      <c r="D20">
        <v>0</v>
      </c>
      <c r="E20">
        <v>0</v>
      </c>
      <c r="F20">
        <v>0</v>
      </c>
      <c r="G20">
        <v>7.9999903999999998E-7</v>
      </c>
      <c r="H20">
        <v>1.4299789793E-5</v>
      </c>
      <c r="I20">
        <v>8.9891810856000003E-5</v>
      </c>
      <c r="J20">
        <v>4.0593482511999999E-4</v>
      </c>
      <c r="K20">
        <v>1.366429085296E-3</v>
      </c>
      <c r="L20">
        <v>3.75494273939E-3</v>
      </c>
      <c r="M20">
        <v>8.5739414085750001E-3</v>
      </c>
      <c r="N20">
        <v>1.6503152348858002E-2</v>
      </c>
      <c r="O20">
        <v>2.8530277171581998E-2</v>
      </c>
      <c r="P20">
        <v>4.4319724045685002E-2</v>
      </c>
      <c r="Q20">
        <v>6.3647708805332007E-2</v>
      </c>
      <c r="V20">
        <v>19</v>
      </c>
      <c r="W20">
        <v>0</v>
      </c>
      <c r="X20">
        <v>5.8300000000000004E-13</v>
      </c>
      <c r="Y20">
        <v>4.7569199999999995E-10</v>
      </c>
      <c r="Z20">
        <v>4.1387318999999998E-8</v>
      </c>
      <c r="AA20">
        <v>1.056484675E-6</v>
      </c>
      <c r="AB20">
        <v>1.2416937479000001E-5</v>
      </c>
      <c r="AC20">
        <v>8.5452751254000002E-5</v>
      </c>
      <c r="AD20">
        <v>3.9752929682300003E-4</v>
      </c>
      <c r="AE20">
        <v>1.3718971634860001E-3</v>
      </c>
      <c r="AF20">
        <v>3.7450994823430002E-3</v>
      </c>
      <c r="AG20">
        <v>8.4757924135400002E-3</v>
      </c>
      <c r="AH20">
        <v>1.6487572010433001E-2</v>
      </c>
      <c r="AI20">
        <v>2.8375175012909998E-2</v>
      </c>
      <c r="AJ20">
        <v>4.4236497484986002E-2</v>
      </c>
      <c r="AK20">
        <v>6.3695014654905999E-2</v>
      </c>
    </row>
    <row r="21" spans="1:37" x14ac:dyDescent="0.35">
      <c r="A21">
        <v>400137271</v>
      </c>
      <c r="B21">
        <v>20</v>
      </c>
      <c r="C21">
        <v>0</v>
      </c>
      <c r="D21">
        <v>0</v>
      </c>
      <c r="E21">
        <v>0</v>
      </c>
      <c r="F21">
        <v>0</v>
      </c>
      <c r="G21">
        <v>1.9999986000000001E-7</v>
      </c>
      <c r="H21">
        <v>5.2999681999999999E-6</v>
      </c>
      <c r="I21">
        <v>2.9899082098000002E-5</v>
      </c>
      <c r="J21">
        <v>1.6977103706100001E-4</v>
      </c>
      <c r="K21">
        <v>6.3949002294599996E-4</v>
      </c>
      <c r="L21">
        <v>1.848474407229E-3</v>
      </c>
      <c r="M21">
        <v>4.7061441735889997E-3</v>
      </c>
      <c r="N21">
        <v>9.8527493792769996E-3</v>
      </c>
      <c r="O21">
        <v>1.8236430940631002E-2</v>
      </c>
      <c r="P21">
        <v>2.9968119950082001E-2</v>
      </c>
      <c r="Q21">
        <v>4.5608206610201998E-2</v>
      </c>
      <c r="V21">
        <v>20</v>
      </c>
      <c r="W21">
        <v>0</v>
      </c>
      <c r="X21">
        <v>5.8000000000000005E-14</v>
      </c>
      <c r="Y21">
        <v>7.1354E-11</v>
      </c>
      <c r="Z21">
        <v>8.2774639999999993E-9</v>
      </c>
      <c r="AA21">
        <v>2.6412109899999998E-7</v>
      </c>
      <c r="AB21">
        <v>3.725067367E-6</v>
      </c>
      <c r="AC21">
        <v>2.9907568448999999E-5</v>
      </c>
      <c r="AD21">
        <v>1.5898643802299999E-4</v>
      </c>
      <c r="AE21">
        <v>6.16972833093E-4</v>
      </c>
      <c r="AF21">
        <v>1.8690498523539999E-3</v>
      </c>
      <c r="AG21">
        <v>4.6400553471959999E-3</v>
      </c>
      <c r="AH21">
        <v>9.7956394200639993E-3</v>
      </c>
      <c r="AI21">
        <v>1.8109848185768E-2</v>
      </c>
      <c r="AJ21">
        <v>3.0035483040502998E-2</v>
      </c>
      <c r="AK21">
        <v>4.5593215589811997E-2</v>
      </c>
    </row>
    <row r="22" spans="1:37" x14ac:dyDescent="0.35">
      <c r="A22">
        <v>333</v>
      </c>
      <c r="B22">
        <v>1</v>
      </c>
      <c r="C22">
        <v>0.50007381410134799</v>
      </c>
      <c r="D22">
        <v>0.66672448996765699</v>
      </c>
      <c r="E22">
        <v>0.75002139816831703</v>
      </c>
      <c r="F22">
        <v>0.79997629319026897</v>
      </c>
      <c r="G22">
        <v>0.83332531905909102</v>
      </c>
      <c r="H22">
        <v>0.85715984695877501</v>
      </c>
      <c r="I22">
        <v>0.87500616375855</v>
      </c>
      <c r="J22">
        <v>0.88883398152200699</v>
      </c>
      <c r="K22">
        <v>0.90004190343366197</v>
      </c>
      <c r="L22">
        <v>0.90909468579350805</v>
      </c>
      <c r="M22">
        <v>0.91665618479284094</v>
      </c>
      <c r="N22">
        <v>0.92307362411888005</v>
      </c>
      <c r="O22">
        <v>0.92856423294866497</v>
      </c>
      <c r="P22">
        <v>0.93329597151759303</v>
      </c>
      <c r="Q22">
        <v>0.93745221662088796</v>
      </c>
    </row>
    <row r="23" spans="1:37" x14ac:dyDescent="0.35">
      <c r="A23">
        <v>333</v>
      </c>
      <c r="B23">
        <v>2</v>
      </c>
      <c r="C23">
        <v>0.20023736954871801</v>
      </c>
      <c r="D23">
        <v>0.40024432844104701</v>
      </c>
      <c r="E23">
        <v>0.52942604523993997</v>
      </c>
      <c r="F23">
        <v>0.61534393653052499</v>
      </c>
      <c r="G23">
        <v>0.67581792587940703</v>
      </c>
      <c r="H23">
        <v>0.71990039097703895</v>
      </c>
      <c r="I23">
        <v>0.75386103389185499</v>
      </c>
      <c r="J23">
        <v>0.78053152406466098</v>
      </c>
      <c r="K23">
        <v>0.80200521573648098</v>
      </c>
      <c r="L23">
        <v>0.81965779276092698</v>
      </c>
      <c r="M23">
        <v>0.83447882526720896</v>
      </c>
      <c r="N23">
        <v>0.84705565884140799</v>
      </c>
      <c r="O23">
        <v>0.85789758936073701</v>
      </c>
      <c r="P23">
        <v>0.86727750948076499</v>
      </c>
      <c r="Q23">
        <v>0.87550255567083202</v>
      </c>
    </row>
    <row r="24" spans="1:37" x14ac:dyDescent="0.35">
      <c r="A24">
        <v>333</v>
      </c>
      <c r="B24">
        <v>3</v>
      </c>
      <c r="C24">
        <v>6.2517249680881001E-2</v>
      </c>
      <c r="D24">
        <v>0.210463223502737</v>
      </c>
      <c r="E24">
        <v>0.34600609888491402</v>
      </c>
      <c r="F24">
        <v>0.45063473375484697</v>
      </c>
      <c r="G24">
        <v>0.52969664401905403</v>
      </c>
      <c r="H24">
        <v>0.59013881464140405</v>
      </c>
      <c r="I24">
        <v>0.63760423541992395</v>
      </c>
      <c r="J24">
        <v>0.67539857399361802</v>
      </c>
      <c r="K24">
        <v>0.70627695422421199</v>
      </c>
      <c r="L24">
        <v>0.73193536941604098</v>
      </c>
      <c r="M24">
        <v>0.75360556906494902</v>
      </c>
      <c r="N24">
        <v>0.77208326926975201</v>
      </c>
      <c r="O24">
        <v>0.788082745372501</v>
      </c>
      <c r="P24">
        <v>0.80181180048374201</v>
      </c>
      <c r="Q24">
        <v>0.81412204160650503</v>
      </c>
      <c r="V24" t="s">
        <v>1</v>
      </c>
      <c r="W24" t="s">
        <v>2</v>
      </c>
      <c r="X24" t="s">
        <v>3</v>
      </c>
      <c r="Y24" t="s">
        <v>4</v>
      </c>
      <c r="Z24" t="s">
        <v>5</v>
      </c>
      <c r="AA24" t="s">
        <v>6</v>
      </c>
      <c r="AB24" t="s">
        <v>7</v>
      </c>
      <c r="AC24" t="s">
        <v>8</v>
      </c>
      <c r="AD24" t="s">
        <v>9</v>
      </c>
      <c r="AE24" t="s">
        <v>10</v>
      </c>
      <c r="AF24" t="s">
        <v>11</v>
      </c>
      <c r="AG24" t="s">
        <v>12</v>
      </c>
      <c r="AH24" t="s">
        <v>13</v>
      </c>
      <c r="AI24" t="s">
        <v>14</v>
      </c>
      <c r="AJ24" t="s">
        <v>15</v>
      </c>
      <c r="AK24" t="s">
        <v>16</v>
      </c>
    </row>
    <row r="25" spans="1:37" x14ac:dyDescent="0.35">
      <c r="A25">
        <v>333</v>
      </c>
      <c r="B25">
        <v>4</v>
      </c>
      <c r="C25">
        <v>1.5395473300380999E-2</v>
      </c>
      <c r="D25">
        <v>9.5319792144356E-2</v>
      </c>
      <c r="E25">
        <v>0.20616742752865</v>
      </c>
      <c r="F25">
        <v>0.31070768524934</v>
      </c>
      <c r="G25">
        <v>0.39852746334807898</v>
      </c>
      <c r="H25">
        <v>0.46960298257004501</v>
      </c>
      <c r="I25">
        <v>0.52732495784921596</v>
      </c>
      <c r="J25">
        <v>0.57453407666178902</v>
      </c>
      <c r="K25">
        <v>0.61379980175577398</v>
      </c>
      <c r="L25">
        <v>0.64658384691458803</v>
      </c>
      <c r="M25">
        <v>0.674400456646711</v>
      </c>
      <c r="N25">
        <v>0.69840548839114802</v>
      </c>
      <c r="O25">
        <v>0.71914562890183797</v>
      </c>
      <c r="P25">
        <v>0.73725162337722105</v>
      </c>
      <c r="Q25">
        <v>0.75318356697669198</v>
      </c>
      <c r="V25">
        <v>1</v>
      </c>
      <c r="W25">
        <f>(W2-C62)</f>
        <v>9.2041839964973615E-5</v>
      </c>
      <c r="X25">
        <f t="shared" ref="X25:AK25" si="0">(X2-D62)</f>
        <v>3.9025027469552498E-6</v>
      </c>
      <c r="Y25">
        <f t="shared" si="0"/>
        <v>5.1030649677041851E-5</v>
      </c>
      <c r="Z25">
        <f t="shared" si="0"/>
        <v>-3.192000465990219E-5</v>
      </c>
      <c r="AA25">
        <f t="shared" si="0"/>
        <v>1.9429222528066781E-5</v>
      </c>
      <c r="AB25">
        <f t="shared" si="0"/>
        <v>1.4289418133972553E-5</v>
      </c>
      <c r="AC25">
        <f t="shared" si="0"/>
        <v>-4.0924228890126813E-6</v>
      </c>
      <c r="AD25">
        <f t="shared" si="0"/>
        <v>3.5537466675950036E-5</v>
      </c>
      <c r="AE25">
        <f t="shared" si="0"/>
        <v>-2.7471442471949103E-5</v>
      </c>
      <c r="AF25">
        <f t="shared" si="0"/>
        <v>9.4733104178956751E-6</v>
      </c>
      <c r="AG25">
        <f t="shared" si="0"/>
        <v>2.9696499879161564E-6</v>
      </c>
      <c r="AH25">
        <f t="shared" si="0"/>
        <v>-7.9488430140273181E-6</v>
      </c>
      <c r="AI25">
        <f t="shared" si="0"/>
        <v>-3.8003275059095287E-6</v>
      </c>
      <c r="AJ25">
        <f t="shared" si="0"/>
        <v>1.5754545770962913E-5</v>
      </c>
      <c r="AK25">
        <f t="shared" si="0"/>
        <v>2.3175563170996227E-5</v>
      </c>
    </row>
    <row r="26" spans="1:37" x14ac:dyDescent="0.35">
      <c r="A26">
        <v>333</v>
      </c>
      <c r="B26">
        <v>5</v>
      </c>
      <c r="C26">
        <v>3.0759089752659999E-3</v>
      </c>
      <c r="D26">
        <v>3.6760398218623001E-2</v>
      </c>
      <c r="E26">
        <v>0.10999412418179499</v>
      </c>
      <c r="F26">
        <v>0.19880078139333901</v>
      </c>
      <c r="G26">
        <v>0.28457656849938301</v>
      </c>
      <c r="H26">
        <v>0.36038644160377897</v>
      </c>
      <c r="I26">
        <v>0.42462660439211097</v>
      </c>
      <c r="J26">
        <v>0.47877977586911602</v>
      </c>
      <c r="K26">
        <v>0.52498601321735505</v>
      </c>
      <c r="L26">
        <v>0.56390488000759198</v>
      </c>
      <c r="M26">
        <v>0.597489365069513</v>
      </c>
      <c r="N26">
        <v>0.62618790427528304</v>
      </c>
      <c r="O26">
        <v>0.65162903077243195</v>
      </c>
      <c r="P26">
        <v>0.67360518659429103</v>
      </c>
      <c r="Q26">
        <v>0.69312460372812301</v>
      </c>
      <c r="V26">
        <v>2</v>
      </c>
      <c r="W26">
        <f t="shared" ref="W26:W44" si="1">(W3-C63)</f>
        <v>-1.0419809550399339E-4</v>
      </c>
      <c r="X26">
        <f t="shared" ref="X26:X44" si="2">(X3-D63)</f>
        <v>-1.1416797898899933E-4</v>
      </c>
      <c r="Y26">
        <f t="shared" ref="Y26:Y44" si="3">(Y3-E63)</f>
        <v>-1.0099626799320305E-6</v>
      </c>
      <c r="Z26">
        <f t="shared" ref="Z26:Z44" si="4">(Z3-F63)</f>
        <v>4.761854186963177E-6</v>
      </c>
      <c r="AA26">
        <f t="shared" ref="AA26:AA44" si="5">(AA3-G63)</f>
        <v>-5.5673169236047926E-5</v>
      </c>
      <c r="AB26">
        <f t="shared" ref="AB26:AB44" si="6">(AB3-H63)</f>
        <v>-9.5124739940555258E-6</v>
      </c>
      <c r="AC26">
        <f t="shared" ref="AC26:AC44" si="7">(AC3-I63)</f>
        <v>-2.7615389623925068E-5</v>
      </c>
      <c r="AD26">
        <f t="shared" ref="AD26:AD44" si="8">(AD3-J63)</f>
        <v>8.173522735077654E-6</v>
      </c>
      <c r="AE26">
        <f t="shared" ref="AE26:AE44" si="9">(AE3-K63)</f>
        <v>3.1596454400650842E-6</v>
      </c>
      <c r="AF26">
        <f t="shared" ref="AF26:AF44" si="10">(AF3-L63)</f>
        <v>-1.9985146550993704E-5</v>
      </c>
      <c r="AG26">
        <f t="shared" ref="AG26:AG44" si="11">(AG3-M63)</f>
        <v>-1.4899668744017269E-5</v>
      </c>
      <c r="AH26">
        <f t="shared" ref="AH26:AH44" si="12">(AH3-N63)</f>
        <v>-2.3182808400745714E-6</v>
      </c>
      <c r="AI26">
        <f t="shared" ref="AI26:AI44" si="13">(AI3-O63)</f>
        <v>-1.8043316416971322E-5</v>
      </c>
      <c r="AJ26">
        <f t="shared" ref="AJ26:AJ44" si="14">(AJ3-P63)</f>
        <v>4.1356906700373841E-6</v>
      </c>
      <c r="AK26">
        <f t="shared" ref="AK26:AK44" si="15">(AK3-Q63)</f>
        <v>1.6316392207005315E-5</v>
      </c>
    </row>
    <row r="27" spans="1:37" x14ac:dyDescent="0.35">
      <c r="A27">
        <v>333</v>
      </c>
      <c r="B27">
        <v>6</v>
      </c>
      <c r="C27">
        <v>5.0394591047199999E-4</v>
      </c>
      <c r="D27">
        <v>1.2067593142999E-2</v>
      </c>
      <c r="E27">
        <v>5.2231685686001998E-2</v>
      </c>
      <c r="F27">
        <v>0.11703384946510401</v>
      </c>
      <c r="G27">
        <v>0.191815878273942</v>
      </c>
      <c r="H27">
        <v>0.26509830885242303</v>
      </c>
      <c r="I27">
        <v>0.33135762964769799</v>
      </c>
      <c r="J27">
        <v>0.38979724312945502</v>
      </c>
      <c r="K27">
        <v>0.44059398601854699</v>
      </c>
      <c r="L27">
        <v>0.48453186573443302</v>
      </c>
      <c r="M27">
        <v>0.52266953421209505</v>
      </c>
      <c r="N27">
        <v>0.55601514378309203</v>
      </c>
      <c r="O27">
        <v>0.58537704341639196</v>
      </c>
      <c r="P27">
        <v>0.61118265346710199</v>
      </c>
      <c r="Q27">
        <v>0.63404569868518901</v>
      </c>
      <c r="V27">
        <v>3</v>
      </c>
      <c r="W27">
        <f t="shared" si="1"/>
        <v>4.4958339319001173E-5</v>
      </c>
      <c r="X27">
        <f t="shared" si="2"/>
        <v>-6.3943506490027335E-6</v>
      </c>
      <c r="Y27">
        <f t="shared" si="3"/>
        <v>1.7140868282972122E-5</v>
      </c>
      <c r="Z27">
        <f t="shared" si="4"/>
        <v>1.6896297272800398E-4</v>
      </c>
      <c r="AA27">
        <f t="shared" si="5"/>
        <v>5.6820320770034627E-5</v>
      </c>
      <c r="AB27">
        <f t="shared" si="6"/>
        <v>-4.5585532423952912E-5</v>
      </c>
      <c r="AC27">
        <f t="shared" si="7"/>
        <v>6.1137403969957482E-5</v>
      </c>
      <c r="AD27">
        <f t="shared" si="8"/>
        <v>1.2345130147795036E-4</v>
      </c>
      <c r="AE27">
        <f t="shared" si="9"/>
        <v>-1.1769899100011472E-5</v>
      </c>
      <c r="AF27">
        <f t="shared" si="10"/>
        <v>2.1382613836995468E-5</v>
      </c>
      <c r="AG27">
        <f t="shared" si="11"/>
        <v>4.4011884177019844E-5</v>
      </c>
      <c r="AH27">
        <f t="shared" si="12"/>
        <v>-2.0570682759402104E-6</v>
      </c>
      <c r="AI27">
        <f t="shared" si="13"/>
        <v>-1.0696029779655447E-6</v>
      </c>
      <c r="AJ27">
        <f t="shared" si="14"/>
        <v>4.8079531536959763E-5</v>
      </c>
      <c r="AK27">
        <f t="shared" si="15"/>
        <v>-4.9006672258045114E-5</v>
      </c>
    </row>
    <row r="28" spans="1:37" x14ac:dyDescent="0.35">
      <c r="A28">
        <v>333</v>
      </c>
      <c r="B28">
        <v>7</v>
      </c>
      <c r="C28">
        <v>7.0894966457000003E-5</v>
      </c>
      <c r="D28">
        <v>3.4342644942729999E-3</v>
      </c>
      <c r="E28">
        <v>2.1817183005099001E-2</v>
      </c>
      <c r="F28">
        <v>6.2938726056337005E-2</v>
      </c>
      <c r="G28">
        <v>0.120736706356307</v>
      </c>
      <c r="H28">
        <v>0.18487991365595899</v>
      </c>
      <c r="I28">
        <v>0.24873321445292501</v>
      </c>
      <c r="J28">
        <v>0.30827807343107999</v>
      </c>
      <c r="K28">
        <v>0.36172473617067402</v>
      </c>
      <c r="L28">
        <v>0.40915809316013302</v>
      </c>
      <c r="M28">
        <v>0.45076474098492603</v>
      </c>
      <c r="N28">
        <v>0.48802283908265398</v>
      </c>
      <c r="O28">
        <v>0.52104078742770998</v>
      </c>
      <c r="P28">
        <v>0.55006438351128795</v>
      </c>
      <c r="Q28">
        <v>0.57625407860542199</v>
      </c>
      <c r="V28">
        <v>4</v>
      </c>
      <c r="W28">
        <f t="shared" si="1"/>
        <v>-5.1368004869989381E-6</v>
      </c>
      <c r="X28">
        <f t="shared" si="2"/>
        <v>2.26676802959902E-5</v>
      </c>
      <c r="Y28">
        <f t="shared" si="3"/>
        <v>1.0687151774499415E-4</v>
      </c>
      <c r="Z28">
        <f t="shared" si="4"/>
        <v>-8.1301405784994785E-5</v>
      </c>
      <c r="AA28">
        <f t="shared" si="5"/>
        <v>-6.7352971325984612E-5</v>
      </c>
      <c r="AB28">
        <f t="shared" si="6"/>
        <v>1.4586440200803352E-4</v>
      </c>
      <c r="AC28">
        <f t="shared" si="7"/>
        <v>5.502234629495284E-5</v>
      </c>
      <c r="AD28">
        <f t="shared" si="8"/>
        <v>5.5560666713971862E-5</v>
      </c>
      <c r="AE28">
        <f t="shared" si="9"/>
        <v>5.1505464779832977E-6</v>
      </c>
      <c r="AF28">
        <f t="shared" si="10"/>
        <v>-1.3474988260986365E-5</v>
      </c>
      <c r="AG28">
        <f t="shared" si="11"/>
        <v>1.6764319968198826E-4</v>
      </c>
      <c r="AH28">
        <f t="shared" si="12"/>
        <v>-1.029138264097007E-5</v>
      </c>
      <c r="AI28">
        <f t="shared" si="13"/>
        <v>4.4305439140801539E-6</v>
      </c>
      <c r="AJ28">
        <f t="shared" si="14"/>
        <v>3.9869057334995794E-5</v>
      </c>
      <c r="AK28">
        <f t="shared" si="15"/>
        <v>-5.7789162609678257E-6</v>
      </c>
    </row>
    <row r="29" spans="1:37" x14ac:dyDescent="0.35">
      <c r="A29">
        <v>333</v>
      </c>
      <c r="B29">
        <v>8</v>
      </c>
      <c r="C29">
        <v>7.4999437499999996E-6</v>
      </c>
      <c r="D29">
        <v>8.5217301120399998E-4</v>
      </c>
      <c r="E29">
        <v>8.1396007386180004E-3</v>
      </c>
      <c r="F29">
        <v>3.0383696486887001E-2</v>
      </c>
      <c r="G29">
        <v>7.0027289108313004E-2</v>
      </c>
      <c r="H29">
        <v>0.121946923479476</v>
      </c>
      <c r="I29">
        <v>0.17874587166021799</v>
      </c>
      <c r="J29">
        <v>0.23582091103407701</v>
      </c>
      <c r="K29">
        <v>0.28915771503603799</v>
      </c>
      <c r="L29">
        <v>0.33823276869837299</v>
      </c>
      <c r="M29">
        <v>0.38249930145282401</v>
      </c>
      <c r="N29">
        <v>0.422652597331929</v>
      </c>
      <c r="O29">
        <v>0.45820997686124798</v>
      </c>
      <c r="P29">
        <v>0.49029081131578101</v>
      </c>
      <c r="Q29">
        <v>0.51905701575087204</v>
      </c>
      <c r="V29">
        <v>5</v>
      </c>
      <c r="W29">
        <f t="shared" si="1"/>
        <v>4.0318665839996978E-6</v>
      </c>
      <c r="X29">
        <f t="shared" si="2"/>
        <v>-5.1238337007999957E-5</v>
      </c>
      <c r="Y29">
        <f t="shared" si="3"/>
        <v>6.1820332169004732E-5</v>
      </c>
      <c r="Z29">
        <f t="shared" si="4"/>
        <v>2.3599720743699981E-4</v>
      </c>
      <c r="AA29">
        <f t="shared" si="5"/>
        <v>1.1406196749297326E-4</v>
      </c>
      <c r="AB29">
        <f t="shared" si="6"/>
        <v>4.331157242198902E-5</v>
      </c>
      <c r="AC29">
        <f t="shared" si="7"/>
        <v>9.6888809288986355E-5</v>
      </c>
      <c r="AD29">
        <f t="shared" si="8"/>
        <v>8.7134536037036803E-5</v>
      </c>
      <c r="AE29">
        <f t="shared" si="9"/>
        <v>-9.9149802830211797E-6</v>
      </c>
      <c r="AF29">
        <f t="shared" si="10"/>
        <v>9.305256991598565E-5</v>
      </c>
      <c r="AG29">
        <f t="shared" si="11"/>
        <v>-4.4886349365058642E-5</v>
      </c>
      <c r="AH29">
        <f t="shared" si="12"/>
        <v>3.7117327003066691E-5</v>
      </c>
      <c r="AI29">
        <f t="shared" si="13"/>
        <v>2.1668976405098128E-5</v>
      </c>
      <c r="AJ29">
        <f t="shared" si="14"/>
        <v>4.1823705684063128E-5</v>
      </c>
      <c r="AK29">
        <f t="shared" si="15"/>
        <v>4.5115383429994438E-5</v>
      </c>
    </row>
    <row r="30" spans="1:37" x14ac:dyDescent="0.35">
      <c r="A30">
        <v>333</v>
      </c>
      <c r="B30">
        <v>9</v>
      </c>
      <c r="C30">
        <v>8.9999891999999996E-7</v>
      </c>
      <c r="D30">
        <v>1.8546557758900001E-4</v>
      </c>
      <c r="E30">
        <v>2.7118254618389999E-3</v>
      </c>
      <c r="F30">
        <v>1.325415952592E-2</v>
      </c>
      <c r="G30">
        <v>3.7356891126070997E-2</v>
      </c>
      <c r="H30">
        <v>7.5060569640425998E-2</v>
      </c>
      <c r="I30">
        <v>0.12234347818722301</v>
      </c>
      <c r="J30">
        <v>0.17337199415475099</v>
      </c>
      <c r="K30">
        <v>0.22406699340154701</v>
      </c>
      <c r="L30">
        <v>0.273205529535123</v>
      </c>
      <c r="M30">
        <v>0.31841517719456702</v>
      </c>
      <c r="N30">
        <v>0.360379067242726</v>
      </c>
      <c r="O30">
        <v>0.398290689626913</v>
      </c>
      <c r="P30">
        <v>0.43270682275084599</v>
      </c>
      <c r="Q30">
        <v>0.46401179773408002</v>
      </c>
      <c r="V30">
        <v>6</v>
      </c>
      <c r="W30">
        <f t="shared" si="1"/>
        <v>2.8779019800000008E-6</v>
      </c>
      <c r="X30">
        <f t="shared" si="2"/>
        <v>3.5871140778000188E-5</v>
      </c>
      <c r="Y30">
        <f t="shared" si="3"/>
        <v>5.7509806069000469E-5</v>
      </c>
      <c r="Z30">
        <f t="shared" si="4"/>
        <v>2.9755702883993429E-5</v>
      </c>
      <c r="AA30">
        <f t="shared" si="5"/>
        <v>-1.0831990722992568E-5</v>
      </c>
      <c r="AB30">
        <f t="shared" si="6"/>
        <v>-5.5803081215000105E-5</v>
      </c>
      <c r="AC30">
        <f t="shared" si="7"/>
        <v>8.6926025574973753E-5</v>
      </c>
      <c r="AD30">
        <f t="shared" si="8"/>
        <v>6.0848793071999197E-5</v>
      </c>
      <c r="AE30">
        <f t="shared" si="9"/>
        <v>-1.5394315905803424E-4</v>
      </c>
      <c r="AF30">
        <f t="shared" si="10"/>
        <v>5.8857620867047711E-5</v>
      </c>
      <c r="AG30">
        <f t="shared" si="11"/>
        <v>-8.556563365902381E-5</v>
      </c>
      <c r="AH30">
        <f t="shared" si="12"/>
        <v>7.1630046666992797E-5</v>
      </c>
      <c r="AI30">
        <f t="shared" si="13"/>
        <v>-3.7788892334966739E-5</v>
      </c>
      <c r="AJ30">
        <f t="shared" si="14"/>
        <v>2.6059568309921843E-6</v>
      </c>
      <c r="AK30">
        <f t="shared" si="15"/>
        <v>5.2328203350437974E-6</v>
      </c>
    </row>
    <row r="31" spans="1:37" x14ac:dyDescent="0.35">
      <c r="A31">
        <v>333</v>
      </c>
      <c r="B31">
        <v>10</v>
      </c>
      <c r="C31">
        <v>4.9999969999999995E-7</v>
      </c>
      <c r="D31">
        <v>3.7798567434000001E-5</v>
      </c>
      <c r="E31">
        <v>8.1064208288600002E-4</v>
      </c>
      <c r="F31">
        <v>5.3375554747889997E-3</v>
      </c>
      <c r="G31">
        <v>1.8342458326448999E-2</v>
      </c>
      <c r="H31">
        <v>4.3114819527293E-2</v>
      </c>
      <c r="I31">
        <v>7.8867855356518995E-2</v>
      </c>
      <c r="J31">
        <v>0.121780988622942</v>
      </c>
      <c r="K31">
        <v>0.16781517789059799</v>
      </c>
      <c r="L31">
        <v>0.214566573833746</v>
      </c>
      <c r="M31">
        <v>0.25925870233204401</v>
      </c>
      <c r="N31">
        <v>0.30175457779852</v>
      </c>
      <c r="O31">
        <v>0.34106587517320103</v>
      </c>
      <c r="P31">
        <v>0.37727125338818701</v>
      </c>
      <c r="Q31">
        <v>0.41023016400485002</v>
      </c>
      <c r="V31">
        <v>7</v>
      </c>
      <c r="W31">
        <f t="shared" si="1"/>
        <v>-4.3522030300000947E-7</v>
      </c>
      <c r="X31">
        <f t="shared" si="2"/>
        <v>1.248892436699978E-5</v>
      </c>
      <c r="Y31">
        <f t="shared" si="3"/>
        <v>3.9316046660999027E-5</v>
      </c>
      <c r="Z31">
        <f t="shared" si="4"/>
        <v>-1.2275864195998576E-5</v>
      </c>
      <c r="AA31">
        <f t="shared" si="5"/>
        <v>1.1696470650995883E-5</v>
      </c>
      <c r="AB31">
        <f t="shared" si="6"/>
        <v>2.3498045237019261E-5</v>
      </c>
      <c r="AC31">
        <f t="shared" si="7"/>
        <v>6.4158954837995053E-5</v>
      </c>
      <c r="AD31">
        <f t="shared" si="8"/>
        <v>-3.6111716079034739E-5</v>
      </c>
      <c r="AE31">
        <f t="shared" si="9"/>
        <v>-6.8087135012995237E-5</v>
      </c>
      <c r="AF31">
        <f t="shared" si="10"/>
        <v>-1.2938134277296065E-4</v>
      </c>
      <c r="AG31">
        <f t="shared" si="11"/>
        <v>8.146478457199402E-5</v>
      </c>
      <c r="AH31">
        <f t="shared" si="12"/>
        <v>1.1159453551695675E-4</v>
      </c>
      <c r="AI31">
        <f t="shared" si="13"/>
        <v>-3.87845025060507E-5</v>
      </c>
      <c r="AJ31">
        <f t="shared" si="14"/>
        <v>7.1814474000952977E-5</v>
      </c>
      <c r="AK31">
        <f t="shared" si="15"/>
        <v>-4.7504331731951233E-5</v>
      </c>
    </row>
    <row r="32" spans="1:37" x14ac:dyDescent="0.35">
      <c r="A32">
        <v>333</v>
      </c>
      <c r="B32">
        <v>11</v>
      </c>
      <c r="C32">
        <v>0</v>
      </c>
      <c r="D32">
        <v>5.8999640099999999E-6</v>
      </c>
      <c r="E32">
        <v>2.3724358347600001E-4</v>
      </c>
      <c r="F32">
        <v>1.921399576555E-3</v>
      </c>
      <c r="G32">
        <v>8.2874418484720005E-3</v>
      </c>
      <c r="H32">
        <v>2.3023702700819999E-2</v>
      </c>
      <c r="I32">
        <v>4.7909983397468998E-2</v>
      </c>
      <c r="J32">
        <v>8.1513315517770996E-2</v>
      </c>
      <c r="K32">
        <v>0.120771606780851</v>
      </c>
      <c r="L32">
        <v>0.163004886456286</v>
      </c>
      <c r="M32">
        <v>0.206105017000457</v>
      </c>
      <c r="N32">
        <v>0.247848774430976</v>
      </c>
      <c r="O32">
        <v>0.28714662100606297</v>
      </c>
      <c r="P32">
        <v>0.32437537045305898</v>
      </c>
      <c r="Q32">
        <v>0.35885916248600402</v>
      </c>
      <c r="V32">
        <v>8</v>
      </c>
      <c r="W32">
        <f t="shared" si="1"/>
        <v>7.9074084199999961E-7</v>
      </c>
      <c r="X32">
        <f t="shared" si="2"/>
        <v>1.0397737992000073E-5</v>
      </c>
      <c r="Y32">
        <f t="shared" si="3"/>
        <v>1.7696888060999075E-5</v>
      </c>
      <c r="Z32">
        <f t="shared" si="4"/>
        <v>4.041161722399822E-5</v>
      </c>
      <c r="AA32">
        <f t="shared" si="5"/>
        <v>9.3803583474993957E-5</v>
      </c>
      <c r="AB32">
        <f t="shared" si="6"/>
        <v>3.290452391799259E-5</v>
      </c>
      <c r="AC32">
        <f t="shared" si="7"/>
        <v>-2.9427993249009354E-5</v>
      </c>
      <c r="AD32">
        <f t="shared" si="8"/>
        <v>3.6445258537021186E-5</v>
      </c>
      <c r="AE32">
        <f t="shared" si="9"/>
        <v>-3.8585906966981387E-5</v>
      </c>
      <c r="AF32">
        <f t="shared" si="10"/>
        <v>1.7472883293601082E-4</v>
      </c>
      <c r="AG32">
        <f t="shared" si="11"/>
        <v>1.4671288387002601E-4</v>
      </c>
      <c r="AH32">
        <f t="shared" si="12"/>
        <v>1.2650384155798999E-4</v>
      </c>
      <c r="AI32">
        <f t="shared" si="13"/>
        <v>7.8011862140014987E-5</v>
      </c>
      <c r="AJ32">
        <f t="shared" si="14"/>
        <v>1.0102932103900342E-4</v>
      </c>
      <c r="AK32">
        <f t="shared" si="15"/>
        <v>-1.5071269439004276E-5</v>
      </c>
    </row>
    <row r="33" spans="1:37" x14ac:dyDescent="0.35">
      <c r="A33">
        <v>333</v>
      </c>
      <c r="B33">
        <v>12</v>
      </c>
      <c r="C33">
        <v>0</v>
      </c>
      <c r="D33">
        <v>1.4999976E-6</v>
      </c>
      <c r="E33">
        <v>5.7896624627000001E-5</v>
      </c>
      <c r="F33">
        <v>6.2970284641500004E-4</v>
      </c>
      <c r="G33">
        <v>3.4142005589450001E-3</v>
      </c>
      <c r="H33">
        <v>1.1260645749174999E-2</v>
      </c>
      <c r="I33">
        <v>2.6994460294692001E-2</v>
      </c>
      <c r="J33">
        <v>5.1352808165040002E-2</v>
      </c>
      <c r="K33">
        <v>8.3044110481325997E-2</v>
      </c>
      <c r="L33">
        <v>0.11972772504268001</v>
      </c>
      <c r="M33">
        <v>0.158751817515244</v>
      </c>
      <c r="N33">
        <v>0.19849952819712499</v>
      </c>
      <c r="O33">
        <v>0.23752998696253799</v>
      </c>
      <c r="P33">
        <v>0.27466267499469099</v>
      </c>
      <c r="Q33">
        <v>0.30970280667627098</v>
      </c>
      <c r="V33">
        <v>9</v>
      </c>
      <c r="W33">
        <f t="shared" si="1"/>
        <v>2.4711130000000005E-7</v>
      </c>
      <c r="X33">
        <f t="shared" si="2"/>
        <v>5.6108355000000451E-7</v>
      </c>
      <c r="Y33">
        <f t="shared" si="3"/>
        <v>1.1337121600014932E-7</v>
      </c>
      <c r="Z33">
        <f t="shared" si="4"/>
        <v>3.1836607049999174E-5</v>
      </c>
      <c r="AA33">
        <f t="shared" si="5"/>
        <v>6.4786374600993291E-5</v>
      </c>
      <c r="AB33">
        <f t="shared" si="6"/>
        <v>8.5054696345995828E-5</v>
      </c>
      <c r="AC33">
        <f t="shared" si="7"/>
        <v>-5.6437029316999676E-5</v>
      </c>
      <c r="AD33">
        <f t="shared" si="8"/>
        <v>1.2260285784992941E-5</v>
      </c>
      <c r="AE33">
        <f t="shared" si="9"/>
        <v>7.0443119621010908E-5</v>
      </c>
      <c r="AF33">
        <f t="shared" si="10"/>
        <v>-6.8820788040047098E-6</v>
      </c>
      <c r="AG33">
        <f t="shared" si="11"/>
        <v>1.1741571502199566E-4</v>
      </c>
      <c r="AH33">
        <f t="shared" si="12"/>
        <v>9.4172078986987096E-5</v>
      </c>
      <c r="AI33">
        <f t="shared" si="13"/>
        <v>-9.281126540500173E-5</v>
      </c>
      <c r="AJ33">
        <f t="shared" si="14"/>
        <v>7.7519714338003531E-5</v>
      </c>
      <c r="AK33">
        <f t="shared" si="15"/>
        <v>5.1963822459977216E-5</v>
      </c>
    </row>
    <row r="34" spans="1:37" x14ac:dyDescent="0.35">
      <c r="A34">
        <v>333</v>
      </c>
      <c r="B34">
        <v>13</v>
      </c>
      <c r="C34">
        <v>0</v>
      </c>
      <c r="D34">
        <v>9.9999959999999996E-8</v>
      </c>
      <c r="E34">
        <v>1.2099848752E-5</v>
      </c>
      <c r="F34">
        <v>1.9306268098399999E-4</v>
      </c>
      <c r="G34">
        <v>1.3046951548410001E-3</v>
      </c>
      <c r="H34">
        <v>5.1595395322620004E-3</v>
      </c>
      <c r="I34">
        <v>1.4279629578335999E-2</v>
      </c>
      <c r="J34">
        <v>3.0700777435356999E-2</v>
      </c>
      <c r="K34">
        <v>5.4431874700964E-2</v>
      </c>
      <c r="L34">
        <v>8.4313231558523993E-2</v>
      </c>
      <c r="M34">
        <v>0.11864173294621801</v>
      </c>
      <c r="N34">
        <v>0.15491363986613199</v>
      </c>
      <c r="O34">
        <v>0.191717568885613</v>
      </c>
      <c r="P34">
        <v>0.22798135545957099</v>
      </c>
      <c r="Q34">
        <v>0.26310165393000401</v>
      </c>
      <c r="V34">
        <v>10</v>
      </c>
      <c r="W34">
        <f t="shared" si="1"/>
        <v>-1.3195550699999998E-7</v>
      </c>
      <c r="X34">
        <f t="shared" si="2"/>
        <v>1.158216748999999E-6</v>
      </c>
      <c r="Y34">
        <f t="shared" si="3"/>
        <v>1.0795037378999927E-5</v>
      </c>
      <c r="Z34">
        <f t="shared" si="4"/>
        <v>-6.8879302099998652E-6</v>
      </c>
      <c r="AA34">
        <f t="shared" si="5"/>
        <v>2.0145679005000722E-5</v>
      </c>
      <c r="AB34">
        <f t="shared" si="6"/>
        <v>-1.5718444916004715E-5</v>
      </c>
      <c r="AC34">
        <f t="shared" si="7"/>
        <v>-9.2002751971992369E-5</v>
      </c>
      <c r="AD34">
        <f t="shared" si="8"/>
        <v>-9.2726599421999456E-5</v>
      </c>
      <c r="AE34">
        <f t="shared" si="9"/>
        <v>1.9240537341000397E-4</v>
      </c>
      <c r="AF34">
        <f t="shared" si="10"/>
        <v>1.4209871156001253E-4</v>
      </c>
      <c r="AG34">
        <f t="shared" si="11"/>
        <v>1.3354563930600971E-4</v>
      </c>
      <c r="AH34">
        <f t="shared" si="12"/>
        <v>-3.9592769154994656E-5</v>
      </c>
      <c r="AI34">
        <f t="shared" si="13"/>
        <v>1.1321174731199202E-4</v>
      </c>
      <c r="AJ34">
        <f t="shared" si="14"/>
        <v>1.9987257292503058E-4</v>
      </c>
      <c r="AK34">
        <f t="shared" si="15"/>
        <v>1.606050620329702E-4</v>
      </c>
    </row>
    <row r="35" spans="1:37" x14ac:dyDescent="0.35">
      <c r="A35">
        <v>333</v>
      </c>
      <c r="B35">
        <v>14</v>
      </c>
      <c r="C35">
        <v>0</v>
      </c>
      <c r="D35">
        <v>0</v>
      </c>
      <c r="E35">
        <v>1.5999968E-6</v>
      </c>
      <c r="F35">
        <v>5.8296554674000001E-5</v>
      </c>
      <c r="G35">
        <v>4.6987896893299999E-4</v>
      </c>
      <c r="H35">
        <v>2.1917844304280001E-3</v>
      </c>
      <c r="I35">
        <v>7.0593062150189996E-3</v>
      </c>
      <c r="J35">
        <v>1.7043378050628999E-2</v>
      </c>
      <c r="K35">
        <v>3.3948472591642999E-2</v>
      </c>
      <c r="L35">
        <v>5.6917072537717002E-2</v>
      </c>
      <c r="M35">
        <v>8.5528459983298E-2</v>
      </c>
      <c r="N35">
        <v>0.117255115411682</v>
      </c>
      <c r="O35">
        <v>0.150782625133529</v>
      </c>
      <c r="P35">
        <v>0.185370223646628</v>
      </c>
      <c r="Q35">
        <v>0.219924816428991</v>
      </c>
      <c r="V35">
        <v>11</v>
      </c>
      <c r="W35">
        <f t="shared" si="1"/>
        <v>9.2161559999999997E-9</v>
      </c>
      <c r="X35">
        <f t="shared" si="2"/>
        <v>1.3769845040000002E-6</v>
      </c>
      <c r="Y35">
        <f t="shared" si="3"/>
        <v>-9.513920823000019E-6</v>
      </c>
      <c r="Z35">
        <f t="shared" si="4"/>
        <v>1.3334622585000093E-5</v>
      </c>
      <c r="AA35">
        <f t="shared" si="5"/>
        <v>2.3401783283999444E-5</v>
      </c>
      <c r="AB35">
        <f t="shared" si="6"/>
        <v>-3.6110924665998939E-5</v>
      </c>
      <c r="AC35">
        <f t="shared" si="7"/>
        <v>-7.3743434291000109E-5</v>
      </c>
      <c r="AD35">
        <f t="shared" si="8"/>
        <v>-9.8950783385995389E-5</v>
      </c>
      <c r="AE35">
        <f t="shared" si="9"/>
        <v>8.1896062622002774E-5</v>
      </c>
      <c r="AF35">
        <f t="shared" si="10"/>
        <v>-7.2901672109881854E-6</v>
      </c>
      <c r="AG35">
        <f t="shared" si="11"/>
        <v>1.2093129678400483E-4</v>
      </c>
      <c r="AH35">
        <f t="shared" si="12"/>
        <v>-4.0382394713989189E-5</v>
      </c>
      <c r="AI35">
        <f t="shared" si="13"/>
        <v>2.3934188516600008E-4</v>
      </c>
      <c r="AJ35">
        <f t="shared" si="14"/>
        <v>2.400119863599226E-5</v>
      </c>
      <c r="AK35">
        <f t="shared" si="15"/>
        <v>4.9434989835006604E-5</v>
      </c>
    </row>
    <row r="36" spans="1:37" x14ac:dyDescent="0.35">
      <c r="A36">
        <v>333</v>
      </c>
      <c r="B36">
        <v>15</v>
      </c>
      <c r="C36">
        <v>0</v>
      </c>
      <c r="D36">
        <v>0</v>
      </c>
      <c r="E36">
        <v>9.9999959999999996E-8</v>
      </c>
      <c r="F36">
        <v>1.4899773523000001E-5</v>
      </c>
      <c r="G36">
        <v>1.59474420303E-4</v>
      </c>
      <c r="H36">
        <v>8.8411676096100005E-4</v>
      </c>
      <c r="I36">
        <v>3.3206349801190001E-3</v>
      </c>
      <c r="J36">
        <v>9.0516117166460006E-3</v>
      </c>
      <c r="K36">
        <v>1.9800598215156999E-2</v>
      </c>
      <c r="L36">
        <v>3.6478137706434002E-2</v>
      </c>
      <c r="M36">
        <v>5.8693335743076003E-2</v>
      </c>
      <c r="N36">
        <v>8.5780634445473999E-2</v>
      </c>
      <c r="O36">
        <v>0.116064228451112</v>
      </c>
      <c r="P36">
        <v>0.14795573463616499</v>
      </c>
      <c r="Q36">
        <v>0.18061496090554399</v>
      </c>
      <c r="V36">
        <v>12</v>
      </c>
      <c r="W36">
        <f t="shared" si="1"/>
        <v>7.6801300000000004E-10</v>
      </c>
      <c r="X36">
        <f t="shared" si="2"/>
        <v>2.3936588000000052E-8</v>
      </c>
      <c r="Y36">
        <f t="shared" si="3"/>
        <v>-4.9174052499999601E-7</v>
      </c>
      <c r="Z36">
        <f t="shared" si="4"/>
        <v>5.5931954930000692E-6</v>
      </c>
      <c r="AA36">
        <f t="shared" si="5"/>
        <v>3.0992780276000147E-5</v>
      </c>
      <c r="AB36">
        <f t="shared" si="6"/>
        <v>5.850357377500115E-5</v>
      </c>
      <c r="AC36">
        <f t="shared" si="7"/>
        <v>4.0112370039997042E-5</v>
      </c>
      <c r="AD36">
        <f t="shared" si="8"/>
        <v>2.8035548746994932E-5</v>
      </c>
      <c r="AE36">
        <f t="shared" si="9"/>
        <v>-7.0368374855994675E-5</v>
      </c>
      <c r="AF36">
        <f t="shared" si="10"/>
        <v>-3.6868098279990713E-5</v>
      </c>
      <c r="AG36">
        <f t="shared" si="11"/>
        <v>1.6316851366299234E-4</v>
      </c>
      <c r="AH36">
        <f t="shared" si="12"/>
        <v>6.3907017549019729E-5</v>
      </c>
      <c r="AI36">
        <f t="shared" si="13"/>
        <v>-1.9899865328992794E-5</v>
      </c>
      <c r="AJ36">
        <f t="shared" si="14"/>
        <v>8.0525004105991282E-5</v>
      </c>
      <c r="AK36">
        <f t="shared" si="15"/>
        <v>1.5441405091104476E-4</v>
      </c>
    </row>
    <row r="37" spans="1:37" x14ac:dyDescent="0.35">
      <c r="A37">
        <v>333</v>
      </c>
      <c r="B37">
        <v>16</v>
      </c>
      <c r="C37">
        <v>0</v>
      </c>
      <c r="D37">
        <v>0</v>
      </c>
      <c r="E37">
        <v>0</v>
      </c>
      <c r="F37">
        <v>4.2999797900000001E-6</v>
      </c>
      <c r="G37">
        <v>5.2697180701000001E-5</v>
      </c>
      <c r="H37">
        <v>3.2139657458199998E-4</v>
      </c>
      <c r="I37">
        <v>1.463055599408E-3</v>
      </c>
      <c r="J37">
        <v>4.5117477960660004E-3</v>
      </c>
      <c r="K37">
        <v>1.0937543889633E-2</v>
      </c>
      <c r="L37">
        <v>2.2283979037403E-2</v>
      </c>
      <c r="M37">
        <v>3.8964004439981E-2</v>
      </c>
      <c r="N37">
        <v>6.0646145368852003E-2</v>
      </c>
      <c r="O37">
        <v>8.5996226814151006E-2</v>
      </c>
      <c r="P37">
        <v>0.114557602961553</v>
      </c>
      <c r="Q37">
        <v>0.14452419467085301</v>
      </c>
      <c r="V37">
        <v>13</v>
      </c>
      <c r="W37">
        <f t="shared" si="1"/>
        <v>5.9078E-11</v>
      </c>
      <c r="X37">
        <f t="shared" si="2"/>
        <v>4.4707973999999991E-8</v>
      </c>
      <c r="Y37">
        <f t="shared" si="3"/>
        <v>1.1400973499999951E-7</v>
      </c>
      <c r="Z37">
        <f t="shared" si="4"/>
        <v>5.4232197600000251E-7</v>
      </c>
      <c r="AA37">
        <f t="shared" si="5"/>
        <v>1.5161187603999907E-5</v>
      </c>
      <c r="AB37">
        <f t="shared" si="6"/>
        <v>9.2012050870006815E-6</v>
      </c>
      <c r="AC37">
        <f t="shared" si="7"/>
        <v>2.1576750488000451E-5</v>
      </c>
      <c r="AD37">
        <f t="shared" si="8"/>
        <v>1.6284954102000621E-5</v>
      </c>
      <c r="AE37">
        <f t="shared" si="9"/>
        <v>-4.4608096658002583E-5</v>
      </c>
      <c r="AF37">
        <f t="shared" si="10"/>
        <v>1.0249526562799982E-4</v>
      </c>
      <c r="AG37">
        <f t="shared" si="11"/>
        <v>5.9963488859990366E-5</v>
      </c>
      <c r="AH37">
        <f t="shared" si="12"/>
        <v>6.9179096844007582E-5</v>
      </c>
      <c r="AI37">
        <f t="shared" si="13"/>
        <v>2.5849874224001534E-4</v>
      </c>
      <c r="AJ37">
        <f t="shared" si="14"/>
        <v>2.1178856561199222E-4</v>
      </c>
      <c r="AK37">
        <f t="shared" si="15"/>
        <v>-2.0939831542998721E-5</v>
      </c>
    </row>
    <row r="38" spans="1:37" x14ac:dyDescent="0.35">
      <c r="A38">
        <v>333</v>
      </c>
      <c r="B38">
        <v>17</v>
      </c>
      <c r="C38">
        <v>0</v>
      </c>
      <c r="D38">
        <v>0</v>
      </c>
      <c r="E38">
        <v>0</v>
      </c>
      <c r="F38">
        <v>5.9999952000000003E-7</v>
      </c>
      <c r="G38">
        <v>1.4899773523000001E-5</v>
      </c>
      <c r="H38">
        <v>1.1488677653199999E-4</v>
      </c>
      <c r="I38">
        <v>6.0163757352600005E-4</v>
      </c>
      <c r="J38">
        <v>2.120592468649E-3</v>
      </c>
      <c r="K38">
        <v>5.7386717954589998E-3</v>
      </c>
      <c r="L38">
        <v>1.2850698047193E-2</v>
      </c>
      <c r="M38">
        <v>2.4501659954758E-2</v>
      </c>
      <c r="N38">
        <v>4.1006340189076999E-2</v>
      </c>
      <c r="O38">
        <v>6.1819022086257003E-2</v>
      </c>
      <c r="P38">
        <v>8.6138692670488001E-2</v>
      </c>
      <c r="Q38">
        <v>0.113000988736809</v>
      </c>
      <c r="V38">
        <v>14</v>
      </c>
      <c r="W38">
        <f t="shared" si="1"/>
        <v>4.2200000000000002E-12</v>
      </c>
      <c r="X38">
        <f t="shared" si="2"/>
        <v>-7.8988609999999988E-9</v>
      </c>
      <c r="Y38">
        <f t="shared" si="3"/>
        <v>6.9820237600000009E-7</v>
      </c>
      <c r="Z38">
        <f t="shared" si="4"/>
        <v>-1.8987565959999975E-6</v>
      </c>
      <c r="AA38">
        <f t="shared" si="5"/>
        <v>-2.6979597719999581E-6</v>
      </c>
      <c r="AB38">
        <f t="shared" si="6"/>
        <v>-2.8981559529999562E-6</v>
      </c>
      <c r="AC38">
        <f t="shared" si="7"/>
        <v>3.2133622275999987E-5</v>
      </c>
      <c r="AD38">
        <f t="shared" si="8"/>
        <v>4.8013052939999135E-5</v>
      </c>
      <c r="AE38">
        <f t="shared" si="9"/>
        <v>-1.0486463836399673E-4</v>
      </c>
      <c r="AF38">
        <f t="shared" si="10"/>
        <v>-2.4186182707004733E-5</v>
      </c>
      <c r="AG38">
        <f t="shared" si="11"/>
        <v>-1.7087192043900579E-4</v>
      </c>
      <c r="AH38">
        <f t="shared" si="12"/>
        <v>1.7107640326399776E-4</v>
      </c>
      <c r="AI38">
        <f t="shared" si="13"/>
        <v>2.271945550020027E-4</v>
      </c>
      <c r="AJ38">
        <f t="shared" si="14"/>
        <v>1.4427298781599651E-4</v>
      </c>
      <c r="AK38">
        <f t="shared" si="15"/>
        <v>3.8869415565995213E-5</v>
      </c>
    </row>
    <row r="39" spans="1:37" x14ac:dyDescent="0.35">
      <c r="A39">
        <v>333</v>
      </c>
      <c r="B39">
        <v>18</v>
      </c>
      <c r="C39">
        <v>0</v>
      </c>
      <c r="D39">
        <v>0</v>
      </c>
      <c r="E39">
        <v>0</v>
      </c>
      <c r="F39">
        <v>9.9999919999999996E-8</v>
      </c>
      <c r="G39">
        <v>4.0999811400000003E-6</v>
      </c>
      <c r="H39">
        <v>3.9498412163999999E-5</v>
      </c>
      <c r="I39">
        <v>2.4064193310200001E-4</v>
      </c>
      <c r="J39">
        <v>9.2554211501399996E-4</v>
      </c>
      <c r="K39">
        <v>2.8436880953390002E-3</v>
      </c>
      <c r="L39">
        <v>7.0720252568929999E-3</v>
      </c>
      <c r="M39">
        <v>1.4723365196485001E-2</v>
      </c>
      <c r="N39">
        <v>2.6432719934514001E-2</v>
      </c>
      <c r="O39">
        <v>4.2566772769320999E-2</v>
      </c>
      <c r="P39">
        <v>6.2818254696726E-2</v>
      </c>
      <c r="Q39">
        <v>8.6234262230010003E-2</v>
      </c>
      <c r="V39">
        <v>15</v>
      </c>
      <c r="W39">
        <f t="shared" si="1"/>
        <v>2.8100000000000001E-13</v>
      </c>
      <c r="X39">
        <f t="shared" si="2"/>
        <v>3.3912619999999999E-9</v>
      </c>
      <c r="Y39">
        <f t="shared" si="3"/>
        <v>3.4630588099999997E-7</v>
      </c>
      <c r="Z39">
        <f t="shared" si="4"/>
        <v>-4.272330770000012E-7</v>
      </c>
      <c r="AA39">
        <f t="shared" si="5"/>
        <v>-1.185118544999998E-6</v>
      </c>
      <c r="AB39">
        <f t="shared" si="6"/>
        <v>6.5610173130000804E-6</v>
      </c>
      <c r="AC39">
        <f t="shared" si="7"/>
        <v>-7.522112329000092E-6</v>
      </c>
      <c r="AD39">
        <f t="shared" si="8"/>
        <v>6.6035533111000536E-5</v>
      </c>
      <c r="AE39">
        <f t="shared" si="9"/>
        <v>3.0031544694001516E-5</v>
      </c>
      <c r="AF39">
        <f t="shared" si="10"/>
        <v>5.1711700310014264E-6</v>
      </c>
      <c r="AG39">
        <f t="shared" si="11"/>
        <v>3.1151023520997745E-5</v>
      </c>
      <c r="AH39">
        <f t="shared" si="12"/>
        <v>7.4866102018997238E-5</v>
      </c>
      <c r="AI39">
        <f t="shared" si="13"/>
        <v>-2.6609896841001124E-5</v>
      </c>
      <c r="AJ39">
        <f t="shared" si="14"/>
        <v>3.5596592665998461E-5</v>
      </c>
      <c r="AK39">
        <f t="shared" si="15"/>
        <v>6.4699078980157143E-6</v>
      </c>
    </row>
    <row r="40" spans="1:37" x14ac:dyDescent="0.35">
      <c r="A40">
        <v>333</v>
      </c>
      <c r="B40">
        <v>19</v>
      </c>
      <c r="C40">
        <v>0</v>
      </c>
      <c r="D40">
        <v>0</v>
      </c>
      <c r="E40">
        <v>0</v>
      </c>
      <c r="F40">
        <v>9.9999919999999996E-8</v>
      </c>
      <c r="G40">
        <v>6.9999908999999995E-7</v>
      </c>
      <c r="H40">
        <v>1.4299788363E-5</v>
      </c>
      <c r="I40">
        <v>8.8092177415000005E-5</v>
      </c>
      <c r="J40">
        <v>3.9194592605700001E-4</v>
      </c>
      <c r="K40">
        <v>1.3893661412680001E-3</v>
      </c>
      <c r="L40">
        <v>3.7690360829440001E-3</v>
      </c>
      <c r="M40">
        <v>8.3884330178260001E-3</v>
      </c>
      <c r="N40">
        <v>1.6427798271570999E-2</v>
      </c>
      <c r="O40">
        <v>2.8257181171532E-2</v>
      </c>
      <c r="P40">
        <v>4.421924363035E-2</v>
      </c>
      <c r="Q40">
        <v>6.3912827975102005E-2</v>
      </c>
      <c r="V40">
        <v>16</v>
      </c>
      <c r="W40">
        <f t="shared" si="1"/>
        <v>1.7999999999999999E-14</v>
      </c>
      <c r="X40">
        <f t="shared" si="2"/>
        <v>4.2390800000000002E-10</v>
      </c>
      <c r="Y40">
        <f t="shared" si="3"/>
        <v>3.5765689000000001E-8</v>
      </c>
      <c r="Z40">
        <f t="shared" si="4"/>
        <v>-4.0200327000000077E-8</v>
      </c>
      <c r="AA40">
        <f t="shared" si="5"/>
        <v>-2.906670820000028E-7</v>
      </c>
      <c r="AB40">
        <f t="shared" si="6"/>
        <v>-1.0412265509999845E-6</v>
      </c>
      <c r="AC40">
        <f t="shared" si="7"/>
        <v>-1.1706416940000103E-6</v>
      </c>
      <c r="AD40">
        <f t="shared" si="8"/>
        <v>9.3946661200005471E-7</v>
      </c>
      <c r="AE40">
        <f t="shared" si="9"/>
        <v>3.7521982646998922E-5</v>
      </c>
      <c r="AF40">
        <f t="shared" si="10"/>
        <v>-6.7356012809979826E-6</v>
      </c>
      <c r="AG40">
        <f t="shared" si="11"/>
        <v>-3.7386051702004153E-5</v>
      </c>
      <c r="AH40">
        <f t="shared" si="12"/>
        <v>-3.9139180288999542E-5</v>
      </c>
      <c r="AI40">
        <f t="shared" si="13"/>
        <v>1.6288492608799998E-4</v>
      </c>
      <c r="AJ40">
        <f t="shared" si="14"/>
        <v>-1.1074480768008543E-5</v>
      </c>
      <c r="AK40">
        <f t="shared" si="15"/>
        <v>5.2727181476003304E-5</v>
      </c>
    </row>
    <row r="41" spans="1:37" x14ac:dyDescent="0.35">
      <c r="A41">
        <v>333</v>
      </c>
      <c r="B41">
        <v>20</v>
      </c>
      <c r="C41">
        <v>0</v>
      </c>
      <c r="D41">
        <v>0</v>
      </c>
      <c r="E41">
        <v>0</v>
      </c>
      <c r="F41">
        <v>0</v>
      </c>
      <c r="G41">
        <v>9.999991E-8</v>
      </c>
      <c r="H41">
        <v>3.6999840899999998E-6</v>
      </c>
      <c r="I41">
        <v>3.3898830489999998E-5</v>
      </c>
      <c r="J41">
        <v>1.64272862123E-4</v>
      </c>
      <c r="K41">
        <v>6.4548282445100005E-4</v>
      </c>
      <c r="L41">
        <v>1.8781649179909999E-3</v>
      </c>
      <c r="M41">
        <v>4.5823007959850002E-3</v>
      </c>
      <c r="N41">
        <v>9.7007625988949995E-3</v>
      </c>
      <c r="O41">
        <v>1.8041596489464001E-2</v>
      </c>
      <c r="P41">
        <v>2.9927668576316999E-2</v>
      </c>
      <c r="Q41">
        <v>4.5688347027519997E-2</v>
      </c>
      <c r="V41">
        <v>17</v>
      </c>
      <c r="W41">
        <f t="shared" si="1"/>
        <v>1.0000000000000001E-15</v>
      </c>
      <c r="X41">
        <f t="shared" si="2"/>
        <v>4.9872000000000002E-11</v>
      </c>
      <c r="Y41">
        <f t="shared" si="3"/>
        <v>-1.5257024000000003E-8</v>
      </c>
      <c r="Z41">
        <f t="shared" si="4"/>
        <v>2.8465470700000003E-7</v>
      </c>
      <c r="AA41">
        <f t="shared" si="5"/>
        <v>-7.1364943500000096E-7</v>
      </c>
      <c r="AB41">
        <f t="shared" si="6"/>
        <v>2.8091633100000104E-7</v>
      </c>
      <c r="AC41">
        <f t="shared" si="7"/>
        <v>-9.9414751900009195E-7</v>
      </c>
      <c r="AD41">
        <f t="shared" si="8"/>
        <v>7.7207852130002121E-6</v>
      </c>
      <c r="AE41">
        <f t="shared" si="9"/>
        <v>1.9502224294000274E-5</v>
      </c>
      <c r="AF41">
        <f t="shared" si="10"/>
        <v>-2.0684127595000518E-5</v>
      </c>
      <c r="AG41">
        <f t="shared" si="11"/>
        <v>-5.9859856577998416E-5</v>
      </c>
      <c r="AH41">
        <f t="shared" si="12"/>
        <v>-5.7058343506999343E-5</v>
      </c>
      <c r="AI41">
        <f t="shared" si="13"/>
        <v>4.0426296979000076E-5</v>
      </c>
      <c r="AJ41">
        <f t="shared" si="14"/>
        <v>7.235455457101081E-5</v>
      </c>
      <c r="AK41">
        <f t="shared" si="15"/>
        <v>2.750074826110005E-4</v>
      </c>
    </row>
    <row r="42" spans="1:37" x14ac:dyDescent="0.35">
      <c r="A42">
        <v>4444</v>
      </c>
      <c r="B42">
        <v>1</v>
      </c>
      <c r="C42">
        <v>0.499890651090861</v>
      </c>
      <c r="D42">
        <v>0.66667745520636701</v>
      </c>
      <c r="E42">
        <v>0.74988970761381502</v>
      </c>
      <c r="F42">
        <v>0.79999853598928305</v>
      </c>
      <c r="G42">
        <v>0.83334450480669398</v>
      </c>
      <c r="H42">
        <v>0.85716460893241098</v>
      </c>
      <c r="I42">
        <v>0.87502777663879505</v>
      </c>
      <c r="J42">
        <v>0.88886782810751297</v>
      </c>
      <c r="K42">
        <v>0.90004660926563296</v>
      </c>
      <c r="L42">
        <v>0.90906414005380998</v>
      </c>
      <c r="M42">
        <v>0.91668263721649001</v>
      </c>
      <c r="N42">
        <v>0.92308965883780103</v>
      </c>
      <c r="O42">
        <v>0.92855309835847699</v>
      </c>
      <c r="P42">
        <v>0.93331861052707998</v>
      </c>
      <c r="Q42">
        <v>0.93748197136349198</v>
      </c>
      <c r="V42">
        <v>18</v>
      </c>
      <c r="W42">
        <f t="shared" si="1"/>
        <v>0</v>
      </c>
      <c r="X42">
        <f t="shared" si="2"/>
        <v>5.5409999999999999E-12</v>
      </c>
      <c r="Y42">
        <f t="shared" si="3"/>
        <v>3.012715E-9</v>
      </c>
      <c r="Z42">
        <f t="shared" si="4"/>
        <v>1.2992315200000001E-7</v>
      </c>
      <c r="AA42">
        <f t="shared" si="5"/>
        <v>-4.8533126799999975E-7</v>
      </c>
      <c r="AB42">
        <f t="shared" si="6"/>
        <v>-9.7755110300000079E-7</v>
      </c>
      <c r="AC42">
        <f t="shared" si="7"/>
        <v>-4.880745576000021E-6</v>
      </c>
      <c r="AD42">
        <f t="shared" si="8"/>
        <v>1.2510861368999972E-5</v>
      </c>
      <c r="AE42">
        <f t="shared" si="9"/>
        <v>9.0597248470001938E-6</v>
      </c>
      <c r="AF42">
        <f t="shared" si="10"/>
        <v>1.8856084749999807E-5</v>
      </c>
      <c r="AG42">
        <f t="shared" si="11"/>
        <v>-1.9758545811000491E-5</v>
      </c>
      <c r="AH42">
        <f t="shared" si="12"/>
        <v>-9.7299722269999361E-5</v>
      </c>
      <c r="AI42">
        <f t="shared" si="13"/>
        <v>1.4301268849992166E-6</v>
      </c>
      <c r="AJ42">
        <f t="shared" si="14"/>
        <v>-5.1910849991010366E-5</v>
      </c>
      <c r="AK42">
        <f t="shared" si="15"/>
        <v>1.0616390484899374E-4</v>
      </c>
    </row>
    <row r="43" spans="1:37" x14ac:dyDescent="0.35">
      <c r="A43">
        <v>4444</v>
      </c>
      <c r="B43">
        <v>2</v>
      </c>
      <c r="C43">
        <v>0.20012644401173099</v>
      </c>
      <c r="D43">
        <v>0.40013476572353301</v>
      </c>
      <c r="E43">
        <v>0.52950247385222005</v>
      </c>
      <c r="F43">
        <v>0.61549833026321599</v>
      </c>
      <c r="G43">
        <v>0.67587400484821103</v>
      </c>
      <c r="H43">
        <v>0.72015462686638998</v>
      </c>
      <c r="I43">
        <v>0.75389405400956899</v>
      </c>
      <c r="J43">
        <v>0.78040465536860304</v>
      </c>
      <c r="K43">
        <v>0.80194714064777906</v>
      </c>
      <c r="L43">
        <v>0.81972955939366898</v>
      </c>
      <c r="M43">
        <v>0.83451555957366397</v>
      </c>
      <c r="N43">
        <v>0.84711697734761504</v>
      </c>
      <c r="O43">
        <v>0.85790763875243103</v>
      </c>
      <c r="P43">
        <v>0.86721504457643594</v>
      </c>
      <c r="Q43">
        <v>0.87544872239982896</v>
      </c>
      <c r="V43">
        <v>19</v>
      </c>
      <c r="W43">
        <f t="shared" si="1"/>
        <v>0</v>
      </c>
      <c r="X43">
        <f t="shared" si="2"/>
        <v>5.8300000000000004E-13</v>
      </c>
      <c r="Y43">
        <f t="shared" si="3"/>
        <v>4.7569199999999995E-10</v>
      </c>
      <c r="Z43">
        <f t="shared" si="4"/>
        <v>8.0540119999999977E-9</v>
      </c>
      <c r="AA43">
        <f t="shared" si="5"/>
        <v>1.2315278799999999E-7</v>
      </c>
      <c r="AB43">
        <f t="shared" si="6"/>
        <v>-1.549526063999999E-6</v>
      </c>
      <c r="AC43">
        <f t="shared" si="7"/>
        <v>-2.772704749999996E-6</v>
      </c>
      <c r="AD43">
        <f t="shared" si="8"/>
        <v>7.2056147900001954E-7</v>
      </c>
      <c r="AE43">
        <f t="shared" si="9"/>
        <v>-6.1999191339999482E-6</v>
      </c>
      <c r="AF43">
        <f t="shared" si="10"/>
        <v>-1.196113251199964E-5</v>
      </c>
      <c r="AG43">
        <f t="shared" si="11"/>
        <v>-2.0257370371000449E-5</v>
      </c>
      <c r="AH43">
        <f t="shared" si="12"/>
        <v>1.7919781964002152E-5</v>
      </c>
      <c r="AI43">
        <f t="shared" si="13"/>
        <v>-3.326668948800196E-5</v>
      </c>
      <c r="AJ43">
        <f t="shared" si="14"/>
        <v>-4.7564482827000543E-5</v>
      </c>
      <c r="AK43">
        <f t="shared" si="15"/>
        <v>-4.8316862156005946E-5</v>
      </c>
    </row>
    <row r="44" spans="1:37" x14ac:dyDescent="0.35">
      <c r="A44">
        <v>4444</v>
      </c>
      <c r="B44">
        <v>3</v>
      </c>
      <c r="C44">
        <v>6.2300914762966002E-2</v>
      </c>
      <c r="D44">
        <v>0.21057499422338299</v>
      </c>
      <c r="E44">
        <v>0.34627200497460903</v>
      </c>
      <c r="F44">
        <v>0.45050707197256901</v>
      </c>
      <c r="G44">
        <v>0.529524590244147</v>
      </c>
      <c r="H44">
        <v>0.59007027423883196</v>
      </c>
      <c r="I44">
        <v>0.63734690738752098</v>
      </c>
      <c r="J44">
        <v>0.67539355849094296</v>
      </c>
      <c r="K44">
        <v>0.70641642625601897</v>
      </c>
      <c r="L44">
        <v>0.73210193284685499</v>
      </c>
      <c r="M44">
        <v>0.75376523051004796</v>
      </c>
      <c r="N44">
        <v>0.772102742170927</v>
      </c>
      <c r="O44">
        <v>0.78794447046601102</v>
      </c>
      <c r="P44">
        <v>0.80183093514793802</v>
      </c>
      <c r="Q44">
        <v>0.81403814251738305</v>
      </c>
      <c r="V44">
        <v>20</v>
      </c>
      <c r="W44">
        <f t="shared" si="1"/>
        <v>0</v>
      </c>
      <c r="X44">
        <f t="shared" si="2"/>
        <v>5.8000000000000005E-14</v>
      </c>
      <c r="Y44">
        <f t="shared" si="3"/>
        <v>7.1354E-11</v>
      </c>
      <c r="Z44">
        <f t="shared" si="4"/>
        <v>8.2774639999999993E-9</v>
      </c>
      <c r="AA44">
        <f t="shared" si="5"/>
        <v>6.4121265999999981E-8</v>
      </c>
      <c r="AB44">
        <f t="shared" si="6"/>
        <v>-1.0082403560000002E-6</v>
      </c>
      <c r="AC44">
        <f t="shared" si="7"/>
        <v>-6.9146882100000375E-7</v>
      </c>
      <c r="AD44">
        <f t="shared" si="8"/>
        <v>-5.5863244480000118E-6</v>
      </c>
      <c r="AE44">
        <f t="shared" si="9"/>
        <v>-1.9121717616999985E-5</v>
      </c>
      <c r="AF44">
        <f t="shared" si="10"/>
        <v>3.1399453659999854E-6</v>
      </c>
      <c r="AG44">
        <f t="shared" si="11"/>
        <v>1.5814358599996331E-7</v>
      </c>
      <c r="AH44">
        <f t="shared" si="12"/>
        <v>1.8293328524999694E-5</v>
      </c>
      <c r="AI44">
        <f t="shared" si="13"/>
        <v>-7.4456155054001411E-5</v>
      </c>
      <c r="AJ44">
        <f t="shared" si="14"/>
        <v>2.3613304754997733E-5</v>
      </c>
      <c r="AK44">
        <f t="shared" si="15"/>
        <v>-8.2138722369999584E-5</v>
      </c>
    </row>
    <row r="45" spans="1:37" x14ac:dyDescent="0.35">
      <c r="A45">
        <v>4444</v>
      </c>
      <c r="B45">
        <v>4</v>
      </c>
      <c r="C45">
        <v>1.5408753015310001E-2</v>
      </c>
      <c r="D45">
        <v>9.5186538115621E-2</v>
      </c>
      <c r="E45">
        <v>0.20582268454274699</v>
      </c>
      <c r="F45">
        <v>0.31064282474799998</v>
      </c>
      <c r="G45">
        <v>0.39824111931943501</v>
      </c>
      <c r="H45">
        <v>0.46944046672251699</v>
      </c>
      <c r="I45">
        <v>0.52729305108703195</v>
      </c>
      <c r="J45">
        <v>0.57460167733657497</v>
      </c>
      <c r="K45">
        <v>0.613745383969032</v>
      </c>
      <c r="L45">
        <v>0.646762804614887</v>
      </c>
      <c r="M45">
        <v>0.67430652143998804</v>
      </c>
      <c r="N45">
        <v>0.69857836019125197</v>
      </c>
      <c r="O45">
        <v>0.71927438739162797</v>
      </c>
      <c r="P45">
        <v>0.73723401093742102</v>
      </c>
      <c r="Q45">
        <v>0.753219302588087</v>
      </c>
    </row>
    <row r="46" spans="1:37" x14ac:dyDescent="0.35">
      <c r="A46">
        <v>4444</v>
      </c>
      <c r="B46">
        <v>5</v>
      </c>
      <c r="C46">
        <v>3.0601070015590002E-3</v>
      </c>
      <c r="D46">
        <v>3.6753154006364003E-2</v>
      </c>
      <c r="E46">
        <v>0.110051449690156</v>
      </c>
      <c r="F46">
        <v>0.19891180222742499</v>
      </c>
      <c r="G46">
        <v>0.28494968263931297</v>
      </c>
      <c r="H46">
        <v>0.36045956343315699</v>
      </c>
      <c r="I46">
        <v>0.424789139287024</v>
      </c>
      <c r="J46">
        <v>0.47897940651297399</v>
      </c>
      <c r="K46">
        <v>0.52493956996216895</v>
      </c>
      <c r="L46">
        <v>0.56381914396138999</v>
      </c>
      <c r="M46">
        <v>0.59745964937139295</v>
      </c>
      <c r="N46">
        <v>0.62638976879252195</v>
      </c>
      <c r="O46">
        <v>0.65147585279293896</v>
      </c>
      <c r="P46">
        <v>0.67373177388929295</v>
      </c>
      <c r="Q46">
        <v>0.69318749107367605</v>
      </c>
      <c r="V46" t="s">
        <v>1</v>
      </c>
      <c r="W46" t="s">
        <v>2</v>
      </c>
      <c r="X46" t="s">
        <v>3</v>
      </c>
      <c r="Y46" t="s">
        <v>4</v>
      </c>
      <c r="Z46" t="s">
        <v>5</v>
      </c>
      <c r="AA46" t="s">
        <v>6</v>
      </c>
      <c r="AB46" t="s">
        <v>7</v>
      </c>
      <c r="AC46" t="s">
        <v>8</v>
      </c>
      <c r="AD46" t="s">
        <v>9</v>
      </c>
      <c r="AE46" t="s">
        <v>10</v>
      </c>
      <c r="AF46" t="s">
        <v>11</v>
      </c>
      <c r="AG46" t="s">
        <v>12</v>
      </c>
      <c r="AH46" t="s">
        <v>13</v>
      </c>
      <c r="AI46" t="s">
        <v>14</v>
      </c>
      <c r="AJ46" t="s">
        <v>15</v>
      </c>
      <c r="AK46" t="s">
        <v>16</v>
      </c>
    </row>
    <row r="47" spans="1:37" x14ac:dyDescent="0.35">
      <c r="A47">
        <v>4444</v>
      </c>
      <c r="B47">
        <v>6</v>
      </c>
      <c r="C47">
        <v>5.1083885917500003E-4</v>
      </c>
      <c r="D47">
        <v>1.2028255983402E-2</v>
      </c>
      <c r="E47">
        <v>5.2138526500492999E-2</v>
      </c>
      <c r="F47">
        <v>0.117193478252425</v>
      </c>
      <c r="G47">
        <v>0.19186925353550999</v>
      </c>
      <c r="H47">
        <v>0.264889690126135</v>
      </c>
      <c r="I47">
        <v>0.33122350058043099</v>
      </c>
      <c r="J47">
        <v>0.38959083195187599</v>
      </c>
      <c r="K47">
        <v>0.44077608616339697</v>
      </c>
      <c r="L47">
        <v>0.48431264376067101</v>
      </c>
      <c r="M47">
        <v>0.52286255413837301</v>
      </c>
      <c r="N47">
        <v>0.55609388023782902</v>
      </c>
      <c r="O47">
        <v>0.58540661019078299</v>
      </c>
      <c r="P47">
        <v>0.61107006822022103</v>
      </c>
      <c r="Q47">
        <v>0.63416237585077795</v>
      </c>
      <c r="V47">
        <v>1</v>
      </c>
      <c r="W47">
        <f>(W2-C62)/W2</f>
        <v>1.8408367992994723E-4</v>
      </c>
      <c r="X47">
        <f t="shared" ref="X47:AK47" si="16">(X2-D62)/X2</f>
        <v>5.8537541204328721E-6</v>
      </c>
      <c r="Y47">
        <f t="shared" si="16"/>
        <v>6.8040866236055805E-5</v>
      </c>
      <c r="Z47">
        <f t="shared" si="16"/>
        <v>-3.9900005824877738E-5</v>
      </c>
      <c r="AA47">
        <f t="shared" si="16"/>
        <v>2.3315067033680144E-5</v>
      </c>
      <c r="AB47">
        <f t="shared" si="16"/>
        <v>1.6670987822967984E-5</v>
      </c>
      <c r="AC47">
        <f t="shared" si="16"/>
        <v>-4.6770547303002075E-6</v>
      </c>
      <c r="AD47">
        <f t="shared" si="16"/>
        <v>3.997965001044379E-5</v>
      </c>
      <c r="AE47">
        <f t="shared" si="16"/>
        <v>-3.0523824968832334E-5</v>
      </c>
      <c r="AF47">
        <f t="shared" si="16"/>
        <v>1.0420641459685245E-5</v>
      </c>
      <c r="AG47">
        <f t="shared" si="16"/>
        <v>3.2396181686358059E-6</v>
      </c>
      <c r="AH47">
        <f t="shared" si="16"/>
        <v>-8.6112465985295951E-6</v>
      </c>
      <c r="AI47">
        <f t="shared" si="16"/>
        <v>-4.0926603909794906E-6</v>
      </c>
      <c r="AJ47">
        <f t="shared" si="16"/>
        <v>1.6879870468888842E-5</v>
      </c>
      <c r="AK47">
        <f t="shared" si="16"/>
        <v>2.472060071572931E-5</v>
      </c>
    </row>
    <row r="48" spans="1:37" x14ac:dyDescent="0.35">
      <c r="A48">
        <v>4444</v>
      </c>
      <c r="B48">
        <v>7</v>
      </c>
      <c r="C48">
        <v>7.8993759493000006E-5</v>
      </c>
      <c r="D48">
        <v>3.4409178225749998E-3</v>
      </c>
      <c r="E48">
        <v>2.1834025255061999E-2</v>
      </c>
      <c r="F48">
        <v>6.2663202020597997E-2</v>
      </c>
      <c r="G48">
        <v>0.12046293183713599</v>
      </c>
      <c r="H48">
        <v>0.185184243620688</v>
      </c>
      <c r="I48">
        <v>0.24881536364116399</v>
      </c>
      <c r="J48">
        <v>0.308331722899511</v>
      </c>
      <c r="K48">
        <v>0.36170518604116197</v>
      </c>
      <c r="L48">
        <v>0.40907891877096503</v>
      </c>
      <c r="M48">
        <v>0.45086019952433498</v>
      </c>
      <c r="N48">
        <v>0.48797693521343999</v>
      </c>
      <c r="O48">
        <v>0.52095961131065505</v>
      </c>
      <c r="P48">
        <v>0.54975862123926</v>
      </c>
      <c r="Q48">
        <v>0.57616544049989404</v>
      </c>
      <c r="V48">
        <v>2</v>
      </c>
      <c r="W48">
        <f t="shared" ref="W48:W66" si="17">(W3-C63)/W3</f>
        <v>-5.2099047751996697E-4</v>
      </c>
      <c r="X48">
        <f t="shared" ref="X48:X66" si="18">(X3-D63)/X3</f>
        <v>-2.8541994747249833E-4</v>
      </c>
      <c r="Y48">
        <f t="shared" ref="Y48:Y66" si="19">(Y3-E63)/Y3</f>
        <v>-1.9077072843160586E-6</v>
      </c>
      <c r="Z48">
        <f t="shared" ref="Z48:Z66" si="20">(Z3-F63)/Z3</f>
        <v>7.7380130538151677E-6</v>
      </c>
      <c r="AA48">
        <f t="shared" ref="AA48:AA66" si="21">(AA3-G63)/AA3</f>
        <v>-8.2396290469350885E-5</v>
      </c>
      <c r="AB48">
        <f t="shared" ref="AB48:AB66" si="22">(AB3-H63)/AB3</f>
        <v>-1.321176943618823E-5</v>
      </c>
      <c r="AC48">
        <f t="shared" ref="AC48:AC66" si="23">(AC3-I63)/AC3</f>
        <v>-3.6632659705206713E-5</v>
      </c>
      <c r="AD48">
        <f t="shared" ref="AD48:AD66" si="24">(AD3-J63)/AD3</f>
        <v>1.0472326004318241E-5</v>
      </c>
      <c r="AE48">
        <f t="shared" ref="AE48:AE66" si="25">(AE3-K63)/AE3</f>
        <v>3.9398048079823889E-6</v>
      </c>
      <c r="AF48">
        <f t="shared" ref="AF48:AF66" si="26">(AF3-L63)/AF3</f>
        <v>-2.4381878792212319E-5</v>
      </c>
      <c r="AG48">
        <f t="shared" ref="AG48:AG66" si="27">(AG3-M63)/AG3</f>
        <v>-1.7854974941177712E-5</v>
      </c>
      <c r="AH48">
        <f t="shared" ref="AH48:AH66" si="28">(AH3-N63)/AH3</f>
        <v>-2.7368593250880348E-6</v>
      </c>
      <c r="AI48">
        <f t="shared" ref="AI48:AI66" si="29">(AI3-O63)/AI3</f>
        <v>-2.1032741622149991E-5</v>
      </c>
      <c r="AJ48">
        <f t="shared" ref="AJ48:AJ66" si="30">(AJ3-P63)/AJ3</f>
        <v>4.7687045481043279E-6</v>
      </c>
      <c r="AK48">
        <f t="shared" ref="AK48:AK66" si="31">(AK3-Q63)/AK3</f>
        <v>1.8636945765334964E-5</v>
      </c>
    </row>
    <row r="49" spans="1:37" x14ac:dyDescent="0.35">
      <c r="A49">
        <v>4444</v>
      </c>
      <c r="B49">
        <v>8</v>
      </c>
      <c r="C49">
        <v>8.9999190010000006E-6</v>
      </c>
      <c r="D49">
        <v>8.7054141021499995E-4</v>
      </c>
      <c r="E49">
        <v>8.1070355237399996E-3</v>
      </c>
      <c r="F49">
        <v>3.0356325413385999E-2</v>
      </c>
      <c r="G49">
        <v>6.9827652120819997E-2</v>
      </c>
      <c r="H49">
        <v>0.121701298695595</v>
      </c>
      <c r="I49">
        <v>0.178952757945846</v>
      </c>
      <c r="J49">
        <v>0.23546832730984699</v>
      </c>
      <c r="K49">
        <v>0.28928154160980002</v>
      </c>
      <c r="L49">
        <v>0.33809100093375499</v>
      </c>
      <c r="M49">
        <v>0.38259876838418899</v>
      </c>
      <c r="N49">
        <v>0.42240822333009398</v>
      </c>
      <c r="O49">
        <v>0.45834610958680799</v>
      </c>
      <c r="P49">
        <v>0.49036842871319303</v>
      </c>
      <c r="Q49">
        <v>0.51947173642850997</v>
      </c>
      <c r="V49">
        <v>3</v>
      </c>
      <c r="W49">
        <f t="shared" si="17"/>
        <v>7.1933342910401876E-4</v>
      </c>
      <c r="X49">
        <f t="shared" si="18"/>
        <v>-3.0373165582762937E-5</v>
      </c>
      <c r="Y49">
        <f t="shared" si="19"/>
        <v>4.9518063928586155E-5</v>
      </c>
      <c r="Z49">
        <f t="shared" si="20"/>
        <v>3.7488659574025856E-4</v>
      </c>
      <c r="AA49">
        <f t="shared" si="21"/>
        <v>1.0727676561382527E-4</v>
      </c>
      <c r="AB49">
        <f t="shared" si="22"/>
        <v>-7.7242152162809035E-5</v>
      </c>
      <c r="AC49">
        <f t="shared" si="23"/>
        <v>9.5894820221099496E-5</v>
      </c>
      <c r="AD49">
        <f t="shared" si="24"/>
        <v>1.8276579398493435E-4</v>
      </c>
      <c r="AE49">
        <f t="shared" si="25"/>
        <v>-1.6661914775324888E-5</v>
      </c>
      <c r="AF49">
        <f t="shared" si="26"/>
        <v>2.9208650501335803E-5</v>
      </c>
      <c r="AG49">
        <f t="shared" si="27"/>
        <v>5.8395933476045823E-5</v>
      </c>
      <c r="AH49">
        <f t="shared" si="28"/>
        <v>-2.664189121269786E-6</v>
      </c>
      <c r="AI49">
        <f t="shared" si="29"/>
        <v>-1.3573295869676548E-6</v>
      </c>
      <c r="AJ49">
        <f t="shared" si="30"/>
        <v>5.9959240859867417E-5</v>
      </c>
      <c r="AK49">
        <f t="shared" si="31"/>
        <v>-6.0201974276105215E-5</v>
      </c>
    </row>
    <row r="50" spans="1:37" x14ac:dyDescent="0.35">
      <c r="A50">
        <v>4444</v>
      </c>
      <c r="B50">
        <v>9</v>
      </c>
      <c r="C50">
        <v>5.9999952000000003E-7</v>
      </c>
      <c r="D50">
        <v>1.9636143461399999E-4</v>
      </c>
      <c r="E50">
        <v>2.6963094488810001E-3</v>
      </c>
      <c r="F50">
        <v>1.3276358628834001E-2</v>
      </c>
      <c r="G50">
        <v>3.7434448108929999E-2</v>
      </c>
      <c r="H50">
        <v>7.5102374534256999E-2</v>
      </c>
      <c r="I50">
        <v>0.122021834597123</v>
      </c>
      <c r="J50">
        <v>0.17313916339271401</v>
      </c>
      <c r="K50">
        <v>0.224395104105127</v>
      </c>
      <c r="L50">
        <v>0.273271836185703</v>
      </c>
      <c r="M50">
        <v>0.31856064859890698</v>
      </c>
      <c r="N50">
        <v>0.36053970927722701</v>
      </c>
      <c r="O50">
        <v>0.39871733255775899</v>
      </c>
      <c r="P50">
        <v>0.43287116146203403</v>
      </c>
      <c r="Q50">
        <v>0.46379552607386298</v>
      </c>
      <c r="V50">
        <v>4</v>
      </c>
      <c r="W50">
        <f t="shared" si="17"/>
        <v>-3.3389203165493932E-4</v>
      </c>
      <c r="X50">
        <f t="shared" si="18"/>
        <v>2.380106431078977E-4</v>
      </c>
      <c r="Y50">
        <f t="shared" si="19"/>
        <v>5.1852477128126696E-4</v>
      </c>
      <c r="Z50">
        <f t="shared" si="20"/>
        <v>-2.6168889987045229E-4</v>
      </c>
      <c r="AA50">
        <f t="shared" si="21"/>
        <v>-1.6908289921675168E-4</v>
      </c>
      <c r="AB50">
        <f t="shared" si="22"/>
        <v>3.1063715242451604E-4</v>
      </c>
      <c r="AC50">
        <f t="shared" si="23"/>
        <v>1.043385017413245E-4</v>
      </c>
      <c r="AD50">
        <f t="shared" si="24"/>
        <v>9.6688582113572114E-5</v>
      </c>
      <c r="AE50">
        <f t="shared" si="25"/>
        <v>8.3911280754707355E-6</v>
      </c>
      <c r="AF50">
        <f t="shared" si="26"/>
        <v>-2.0837721846789306E-5</v>
      </c>
      <c r="AG50">
        <f t="shared" si="27"/>
        <v>2.4852780883119686E-4</v>
      </c>
      <c r="AH50">
        <f t="shared" si="28"/>
        <v>-1.4734305933888862E-5</v>
      </c>
      <c r="AI50">
        <f t="shared" si="29"/>
        <v>6.1605052505117137E-6</v>
      </c>
      <c r="AJ50">
        <f t="shared" si="30"/>
        <v>5.4074796006419759E-5</v>
      </c>
      <c r="AK50">
        <f t="shared" si="31"/>
        <v>-7.6720036144866519E-6</v>
      </c>
    </row>
    <row r="51" spans="1:37" x14ac:dyDescent="0.35">
      <c r="A51">
        <v>4444</v>
      </c>
      <c r="B51">
        <v>10</v>
      </c>
      <c r="C51">
        <v>9.9999980000000002E-8</v>
      </c>
      <c r="D51">
        <v>3.3698854239E-5</v>
      </c>
      <c r="E51">
        <v>7.8887655086199999E-4</v>
      </c>
      <c r="F51">
        <v>5.2872922257979999E-3</v>
      </c>
      <c r="G51">
        <v>1.8346500241191999E-2</v>
      </c>
      <c r="H51">
        <v>4.3163915349120001E-2</v>
      </c>
      <c r="I51">
        <v>7.8878022521786995E-2</v>
      </c>
      <c r="J51">
        <v>0.121736505573283</v>
      </c>
      <c r="K51">
        <v>0.167947319781034</v>
      </c>
      <c r="L51">
        <v>0.21427324930201999</v>
      </c>
      <c r="M51">
        <v>0.259716564918481</v>
      </c>
      <c r="N51">
        <v>0.30209890814846402</v>
      </c>
      <c r="O51">
        <v>0.34106053607329001</v>
      </c>
      <c r="P51">
        <v>0.37728441450153799</v>
      </c>
      <c r="Q51">
        <v>0.41018952127131902</v>
      </c>
      <c r="V51">
        <v>5</v>
      </c>
      <c r="W51">
        <f t="shared" si="17"/>
        <v>1.3143885063837675E-3</v>
      </c>
      <c r="X51">
        <f t="shared" si="18"/>
        <v>-1.3962446834679995E-3</v>
      </c>
      <c r="Y51">
        <f t="shared" si="19"/>
        <v>5.6172548736280821E-4</v>
      </c>
      <c r="Z51">
        <f t="shared" si="20"/>
        <v>1.1855172217343024E-3</v>
      </c>
      <c r="AA51">
        <f t="shared" si="21"/>
        <v>4.0040313068733256E-4</v>
      </c>
      <c r="AB51">
        <f t="shared" si="22"/>
        <v>1.2017624570175345E-4</v>
      </c>
      <c r="AC51">
        <f t="shared" si="23"/>
        <v>2.2812423164061201E-4</v>
      </c>
      <c r="AD51">
        <f t="shared" si="24"/>
        <v>1.8190610782536654E-4</v>
      </c>
      <c r="AE51">
        <f t="shared" si="25"/>
        <v>-1.8888986976209317E-5</v>
      </c>
      <c r="AF51">
        <f t="shared" si="26"/>
        <v>1.6500081697502566E-4</v>
      </c>
      <c r="AG51">
        <f t="shared" si="27"/>
        <v>-7.5133234294944123E-5</v>
      </c>
      <c r="AH51">
        <f t="shared" si="28"/>
        <v>5.9259559595077426E-5</v>
      </c>
      <c r="AI51">
        <f t="shared" si="29"/>
        <v>3.3257399294509732E-5</v>
      </c>
      <c r="AJ51">
        <f t="shared" si="30"/>
        <v>6.2082957418482026E-5</v>
      </c>
      <c r="AK51">
        <f t="shared" si="31"/>
        <v>6.5080221651864391E-5</v>
      </c>
    </row>
    <row r="52" spans="1:37" x14ac:dyDescent="0.35">
      <c r="A52">
        <v>4444</v>
      </c>
      <c r="B52">
        <v>11</v>
      </c>
      <c r="C52">
        <v>0</v>
      </c>
      <c r="D52">
        <v>4.8999745200000004E-6</v>
      </c>
      <c r="E52">
        <v>2.15853310929E-4</v>
      </c>
      <c r="F52">
        <v>1.897591350529E-3</v>
      </c>
      <c r="G52">
        <v>8.2802606515850006E-3</v>
      </c>
      <c r="H52">
        <v>2.3123617721301001E-2</v>
      </c>
      <c r="I52">
        <v>4.7746536155951001E-2</v>
      </c>
      <c r="J52">
        <v>8.1421312560236006E-2</v>
      </c>
      <c r="K52">
        <v>0.12063986068131199</v>
      </c>
      <c r="L52">
        <v>0.16343715991130101</v>
      </c>
      <c r="M52">
        <v>0.20565089853503099</v>
      </c>
      <c r="N52">
        <v>0.247917900393444</v>
      </c>
      <c r="O52">
        <v>0.28715092974316297</v>
      </c>
      <c r="P52">
        <v>0.32443571015753803</v>
      </c>
      <c r="Q52">
        <v>0.35884423570711199</v>
      </c>
      <c r="V52">
        <v>6</v>
      </c>
      <c r="W52">
        <f t="shared" si="17"/>
        <v>5.6320541748545892E-3</v>
      </c>
      <c r="X52">
        <f t="shared" si="18"/>
        <v>2.9683368993795416E-3</v>
      </c>
      <c r="Y52">
        <f t="shared" si="19"/>
        <v>1.1026262817920617E-3</v>
      </c>
      <c r="Z52">
        <f t="shared" si="20"/>
        <v>2.5396957344345954E-4</v>
      </c>
      <c r="AA52">
        <f t="shared" si="21"/>
        <v>-5.646153500378431E-5</v>
      </c>
      <c r="AB52">
        <f t="shared" si="22"/>
        <v>-2.1063940841341115E-4</v>
      </c>
      <c r="AC52">
        <f t="shared" si="23"/>
        <v>2.6235480188686037E-4</v>
      </c>
      <c r="AD52">
        <f t="shared" si="24"/>
        <v>1.5612186977341484E-4</v>
      </c>
      <c r="AE52">
        <f t="shared" si="25"/>
        <v>-3.4946079960599118E-4</v>
      </c>
      <c r="AF52">
        <f t="shared" si="26"/>
        <v>1.2147742085991714E-4</v>
      </c>
      <c r="AG52">
        <f t="shared" si="27"/>
        <v>-1.6368806215885513E-4</v>
      </c>
      <c r="AH52">
        <f t="shared" si="28"/>
        <v>1.2881041715690072E-4</v>
      </c>
      <c r="AI52">
        <f t="shared" si="29"/>
        <v>-6.4557263664620924E-5</v>
      </c>
      <c r="AJ52">
        <f t="shared" si="30"/>
        <v>4.2637880707511504E-6</v>
      </c>
      <c r="AK52">
        <f t="shared" si="31"/>
        <v>8.2522171028666442E-6</v>
      </c>
    </row>
    <row r="53" spans="1:37" x14ac:dyDescent="0.35">
      <c r="A53">
        <v>4444</v>
      </c>
      <c r="B53">
        <v>12</v>
      </c>
      <c r="C53">
        <v>0</v>
      </c>
      <c r="D53">
        <v>1.0999986799999999E-6</v>
      </c>
      <c r="E53">
        <v>5.3697111094999998E-5</v>
      </c>
      <c r="F53">
        <v>6.2970290934500001E-4</v>
      </c>
      <c r="G53">
        <v>3.428900125996E-3</v>
      </c>
      <c r="H53">
        <v>1.1289879734326E-2</v>
      </c>
      <c r="I53">
        <v>2.7066606993441999E-2</v>
      </c>
      <c r="J53">
        <v>5.1394898691447997E-2</v>
      </c>
      <c r="K53">
        <v>8.3159233033895996E-2</v>
      </c>
      <c r="L53">
        <v>0.11990724886862</v>
      </c>
      <c r="M53">
        <v>0.15869248154509699</v>
      </c>
      <c r="N53">
        <v>0.19855984525164699</v>
      </c>
      <c r="O53">
        <v>0.237268710525354</v>
      </c>
      <c r="P53">
        <v>0.27450782660174</v>
      </c>
      <c r="Q53">
        <v>0.30953710092398401</v>
      </c>
      <c r="V53">
        <v>7</v>
      </c>
      <c r="W53">
        <f t="shared" si="17"/>
        <v>-5.9625181510941675E-3</v>
      </c>
      <c r="X53">
        <f t="shared" si="18"/>
        <v>3.6295936441590616E-3</v>
      </c>
      <c r="Y53">
        <f t="shared" si="19"/>
        <v>1.798183302840895E-3</v>
      </c>
      <c r="Z53">
        <f t="shared" si="20"/>
        <v>-1.9563459747509731E-4</v>
      </c>
      <c r="AA53">
        <f t="shared" si="21"/>
        <v>9.7051137725459783E-5</v>
      </c>
      <c r="AB53">
        <f t="shared" si="22"/>
        <v>1.269788915714442E-4</v>
      </c>
      <c r="AC53">
        <f t="shared" si="23"/>
        <v>2.5779957943174479E-4</v>
      </c>
      <c r="AD53">
        <f t="shared" si="24"/>
        <v>-1.1718316888131641E-4</v>
      </c>
      <c r="AE53">
        <f t="shared" si="25"/>
        <v>-1.883021355299265E-4</v>
      </c>
      <c r="AF53">
        <f t="shared" si="26"/>
        <v>-3.1630426145613848E-4</v>
      </c>
      <c r="AG53">
        <f t="shared" si="27"/>
        <v>1.8063765982981249E-4</v>
      </c>
      <c r="AH53">
        <f t="shared" si="28"/>
        <v>2.2865641037325566E-4</v>
      </c>
      <c r="AI53">
        <f t="shared" si="29"/>
        <v>-7.4461957313771526E-5</v>
      </c>
      <c r="AJ53">
        <f t="shared" si="30"/>
        <v>1.3056481359041388E-4</v>
      </c>
      <c r="AK53">
        <f t="shared" si="31"/>
        <v>-8.2464604723725862E-5</v>
      </c>
    </row>
    <row r="54" spans="1:37" x14ac:dyDescent="0.35">
      <c r="A54">
        <v>4444</v>
      </c>
      <c r="B54">
        <v>13</v>
      </c>
      <c r="C54">
        <v>0</v>
      </c>
      <c r="D54">
        <v>1.9999994000000001E-7</v>
      </c>
      <c r="E54">
        <v>1.3299816462999999E-5</v>
      </c>
      <c r="F54">
        <v>1.93462487624E-4</v>
      </c>
      <c r="G54">
        <v>1.293723076149E-3</v>
      </c>
      <c r="H54">
        <v>5.1975438727730004E-3</v>
      </c>
      <c r="I54">
        <v>1.431634929988E-2</v>
      </c>
      <c r="J54">
        <v>3.0607748110317998E-2</v>
      </c>
      <c r="K54">
        <v>5.4475073136324E-2</v>
      </c>
      <c r="L54">
        <v>8.4271740285047997E-2</v>
      </c>
      <c r="M54">
        <v>0.11846581132086099</v>
      </c>
      <c r="N54">
        <v>0.15487176124006499</v>
      </c>
      <c r="O54">
        <v>0.19169986688121099</v>
      </c>
      <c r="P54">
        <v>0.22821893673702801</v>
      </c>
      <c r="Q54">
        <v>0.26323032298691401</v>
      </c>
      <c r="V54">
        <v>8</v>
      </c>
      <c r="W54">
        <f t="shared" si="17"/>
        <v>8.6665987024289556E-2</v>
      </c>
      <c r="X54">
        <f t="shared" si="18"/>
        <v>1.2097768153690893E-2</v>
      </c>
      <c r="Y54">
        <f t="shared" si="19"/>
        <v>2.1760860667709059E-3</v>
      </c>
      <c r="Z54">
        <f t="shared" si="20"/>
        <v>1.3284529872990378E-3</v>
      </c>
      <c r="AA54">
        <f t="shared" si="21"/>
        <v>1.3391357552884748E-3</v>
      </c>
      <c r="AB54">
        <f t="shared" si="22"/>
        <v>2.6998410125579115E-4</v>
      </c>
      <c r="AC54">
        <f t="shared" si="23"/>
        <v>-1.6456600302971707E-4</v>
      </c>
      <c r="AD54">
        <f t="shared" si="24"/>
        <v>1.5471077870005945E-4</v>
      </c>
      <c r="AE54">
        <f t="shared" si="25"/>
        <v>-1.3344224959460464E-4</v>
      </c>
      <c r="AF54">
        <f t="shared" si="26"/>
        <v>5.1646264569386185E-4</v>
      </c>
      <c r="AG54">
        <f t="shared" si="27"/>
        <v>3.8330700039781795E-4</v>
      </c>
      <c r="AH54">
        <f t="shared" si="28"/>
        <v>2.9930748990318964E-4</v>
      </c>
      <c r="AI54">
        <f t="shared" si="29"/>
        <v>1.7018057066724797E-4</v>
      </c>
      <c r="AJ54">
        <f t="shared" si="30"/>
        <v>2.0598925646092336E-4</v>
      </c>
      <c r="AK54">
        <f t="shared" si="31"/>
        <v>-2.9024762174335325E-5</v>
      </c>
    </row>
    <row r="55" spans="1:37" x14ac:dyDescent="0.35">
      <c r="A55">
        <v>4444</v>
      </c>
      <c r="B55">
        <v>14</v>
      </c>
      <c r="C55">
        <v>0</v>
      </c>
      <c r="D55">
        <v>0</v>
      </c>
      <c r="E55">
        <v>2.6999916299999999E-6</v>
      </c>
      <c r="F55">
        <v>5.5896847417999997E-5</v>
      </c>
      <c r="G55">
        <v>4.6548294530300002E-4</v>
      </c>
      <c r="H55">
        <v>2.273518650994E-3</v>
      </c>
      <c r="I55">
        <v>7.1297931128839996E-3</v>
      </c>
      <c r="J55">
        <v>1.7161913517581999E-2</v>
      </c>
      <c r="K55">
        <v>3.3891630755646003E-2</v>
      </c>
      <c r="L55">
        <v>5.6744857731312999E-2</v>
      </c>
      <c r="M55">
        <v>8.5329850273235003E-2</v>
      </c>
      <c r="N55">
        <v>0.116961879201766</v>
      </c>
      <c r="O55">
        <v>0.15115880312128799</v>
      </c>
      <c r="P55">
        <v>0.18577440341349</v>
      </c>
      <c r="Q55">
        <v>0.22006997215339799</v>
      </c>
      <c r="V55">
        <v>9</v>
      </c>
      <c r="W55">
        <f t="shared" si="17"/>
        <v>0.24375305733463837</v>
      </c>
      <c r="X55">
        <f t="shared" si="18"/>
        <v>2.9382542804696761E-3</v>
      </c>
      <c r="Y55">
        <f t="shared" si="19"/>
        <v>4.1935219666489741E-5</v>
      </c>
      <c r="Z55">
        <f t="shared" si="20"/>
        <v>2.3866107278150018E-3</v>
      </c>
      <c r="AA55">
        <f t="shared" si="21"/>
        <v>1.7295836610745476E-3</v>
      </c>
      <c r="AB55">
        <f t="shared" si="22"/>
        <v>1.1318749971558129E-3</v>
      </c>
      <c r="AC55">
        <f t="shared" si="23"/>
        <v>-4.6221464739663605E-4</v>
      </c>
      <c r="AD55">
        <f t="shared" si="24"/>
        <v>7.0811061431819331E-5</v>
      </c>
      <c r="AE55">
        <f t="shared" si="25"/>
        <v>3.1405766932521615E-4</v>
      </c>
      <c r="AF55">
        <f t="shared" si="26"/>
        <v>-2.5189892749413697E-5</v>
      </c>
      <c r="AG55">
        <f t="shared" si="27"/>
        <v>3.684046342306912E-4</v>
      </c>
      <c r="AH55">
        <f t="shared" si="28"/>
        <v>2.6128009859388069E-4</v>
      </c>
      <c r="AI55">
        <f t="shared" si="29"/>
        <v>-2.3297936400638977E-4</v>
      </c>
      <c r="AJ55">
        <f t="shared" si="30"/>
        <v>1.7912674808958867E-4</v>
      </c>
      <c r="AK55">
        <f t="shared" si="31"/>
        <v>1.1200803816487021E-4</v>
      </c>
    </row>
    <row r="56" spans="1:37" x14ac:dyDescent="0.35">
      <c r="A56">
        <v>4444</v>
      </c>
      <c r="B56">
        <v>15</v>
      </c>
      <c r="C56">
        <v>0</v>
      </c>
      <c r="D56">
        <v>0</v>
      </c>
      <c r="E56">
        <v>1.9999994000000001E-7</v>
      </c>
      <c r="F56">
        <v>1.6399727765000001E-5</v>
      </c>
      <c r="G56">
        <v>1.4737823223500001E-4</v>
      </c>
      <c r="H56">
        <v>8.8042364243200004E-4</v>
      </c>
      <c r="I56">
        <v>3.313281681767E-3</v>
      </c>
      <c r="J56">
        <v>9.0250985003490006E-3</v>
      </c>
      <c r="K56">
        <v>1.9861214474790001E-2</v>
      </c>
      <c r="L56">
        <v>3.6587748533543997E-2</v>
      </c>
      <c r="M56">
        <v>5.8793803932242997E-2</v>
      </c>
      <c r="N56">
        <v>8.5489891241971996E-2</v>
      </c>
      <c r="O56">
        <v>0.115856499113161</v>
      </c>
      <c r="P56">
        <v>0.147556584699784</v>
      </c>
      <c r="Q56">
        <v>0.18017293247445099</v>
      </c>
      <c r="V56">
        <v>10</v>
      </c>
      <c r="W56">
        <f t="shared" si="17"/>
        <v>-1.3016224483185963</v>
      </c>
      <c r="X56">
        <f t="shared" si="18"/>
        <v>3.0327616018586991E-2</v>
      </c>
      <c r="Y56">
        <f t="shared" si="19"/>
        <v>1.3320824389560499E-2</v>
      </c>
      <c r="Z56">
        <f t="shared" si="20"/>
        <v>-1.2977610519759727E-3</v>
      </c>
      <c r="AA56">
        <f t="shared" si="21"/>
        <v>1.0957927564313051E-3</v>
      </c>
      <c r="AB56">
        <f t="shared" si="22"/>
        <v>-3.6434341917615949E-4</v>
      </c>
      <c r="AC56">
        <f t="shared" si="23"/>
        <v>-1.1684241845185748E-3</v>
      </c>
      <c r="AD56">
        <f t="shared" si="24"/>
        <v>-7.6217152949777458E-4</v>
      </c>
      <c r="AE56">
        <f t="shared" si="25"/>
        <v>1.1455208241593609E-3</v>
      </c>
      <c r="AF56">
        <f t="shared" si="26"/>
        <v>6.6221064371976563E-4</v>
      </c>
      <c r="AG56">
        <f t="shared" si="27"/>
        <v>5.1446748836032419E-4</v>
      </c>
      <c r="AH56">
        <f t="shared" si="28"/>
        <v>-1.3113443362445319E-4</v>
      </c>
      <c r="AI56">
        <f t="shared" si="29"/>
        <v>3.3181916918958651E-4</v>
      </c>
      <c r="AJ56">
        <f t="shared" si="30"/>
        <v>5.2976583506489253E-4</v>
      </c>
      <c r="AK56">
        <f t="shared" si="31"/>
        <v>3.913945750191827E-4</v>
      </c>
    </row>
    <row r="57" spans="1:37" x14ac:dyDescent="0.35">
      <c r="A57">
        <v>4444</v>
      </c>
      <c r="B57">
        <v>16</v>
      </c>
      <c r="C57">
        <v>0</v>
      </c>
      <c r="D57">
        <v>0</v>
      </c>
      <c r="E57">
        <v>9.9999949999999999E-8</v>
      </c>
      <c r="F57">
        <v>4.0999811400000003E-6</v>
      </c>
      <c r="G57">
        <v>4.4098037636999999E-5</v>
      </c>
      <c r="H57">
        <v>3.4118328119900001E-4</v>
      </c>
      <c r="I57">
        <v>1.4412187360229999E-3</v>
      </c>
      <c r="J57">
        <v>4.5259183861390004E-3</v>
      </c>
      <c r="K57">
        <v>1.1054819280742E-2</v>
      </c>
      <c r="L57">
        <v>2.2331288607468001E-2</v>
      </c>
      <c r="M57">
        <v>3.8849916447349003E-2</v>
      </c>
      <c r="N57">
        <v>6.0367459740557003E-2</v>
      </c>
      <c r="O57">
        <v>8.5876680865425006E-2</v>
      </c>
      <c r="P57">
        <v>0.114652427229851</v>
      </c>
      <c r="Q57">
        <v>0.144530744070793</v>
      </c>
      <c r="V57">
        <v>11</v>
      </c>
      <c r="W57">
        <f t="shared" si="17"/>
        <v>1</v>
      </c>
      <c r="X57">
        <f t="shared" si="18"/>
        <v>0.19830934944238077</v>
      </c>
      <c r="Y57">
        <f t="shared" si="19"/>
        <v>-4.3056020847664057E-2</v>
      </c>
      <c r="Z57">
        <f t="shared" si="20"/>
        <v>6.9224018737806658E-3</v>
      </c>
      <c r="AA57">
        <f t="shared" si="21"/>
        <v>2.8237894062772685E-3</v>
      </c>
      <c r="AB57">
        <f t="shared" si="22"/>
        <v>-1.570662170670494E-3</v>
      </c>
      <c r="AC57">
        <f t="shared" si="23"/>
        <v>-1.5454381274394905E-3</v>
      </c>
      <c r="AD57">
        <f t="shared" si="24"/>
        <v>-1.2172816807128526E-3</v>
      </c>
      <c r="AE57">
        <f t="shared" si="25"/>
        <v>6.7783119591926188E-4</v>
      </c>
      <c r="AF57">
        <f t="shared" si="26"/>
        <v>-4.4661293912104085E-5</v>
      </c>
      <c r="AG57">
        <f t="shared" si="27"/>
        <v>5.8680364457413029E-4</v>
      </c>
      <c r="AH57">
        <f t="shared" si="28"/>
        <v>-1.6298632024258652E-4</v>
      </c>
      <c r="AI57">
        <f t="shared" si="29"/>
        <v>8.3292018906971628E-4</v>
      </c>
      <c r="AJ57">
        <f t="shared" si="30"/>
        <v>7.3984889805767278E-5</v>
      </c>
      <c r="AK57">
        <f t="shared" si="31"/>
        <v>1.3778191677033083E-4</v>
      </c>
    </row>
    <row r="58" spans="1:37" x14ac:dyDescent="0.35">
      <c r="A58">
        <v>4444</v>
      </c>
      <c r="B58">
        <v>17</v>
      </c>
      <c r="C58">
        <v>0</v>
      </c>
      <c r="D58">
        <v>0</v>
      </c>
      <c r="E58">
        <v>9.9999949999999999E-8</v>
      </c>
      <c r="F58">
        <v>5.9999934000000001E-7</v>
      </c>
      <c r="G58">
        <v>1.5299762854000001E-5</v>
      </c>
      <c r="H58">
        <v>1.1848585278899999E-4</v>
      </c>
      <c r="I58">
        <v>5.8365867640600003E-4</v>
      </c>
      <c r="J58">
        <v>2.1079456999410001E-3</v>
      </c>
      <c r="K58">
        <v>5.812213661834E-3</v>
      </c>
      <c r="L58">
        <v>1.3085000741172E-2</v>
      </c>
      <c r="M58">
        <v>2.4661511486697998E-2</v>
      </c>
      <c r="N58">
        <v>4.0883993055625997E-2</v>
      </c>
      <c r="O58">
        <v>6.1622677167718999E-2</v>
      </c>
      <c r="P58">
        <v>8.6279559265822994E-2</v>
      </c>
      <c r="Q58">
        <v>0.112914307207073</v>
      </c>
      <c r="V58">
        <v>12</v>
      </c>
      <c r="W58">
        <f t="shared" si="17"/>
        <v>1</v>
      </c>
      <c r="X58">
        <f t="shared" si="18"/>
        <v>2.0683695460766521E-2</v>
      </c>
      <c r="Y58">
        <f t="shared" si="19"/>
        <v>-8.9021383654981877E-3</v>
      </c>
      <c r="Z58">
        <f t="shared" si="20"/>
        <v>8.716378982118661E-3</v>
      </c>
      <c r="AA58">
        <f t="shared" si="21"/>
        <v>9.0064200169806801E-3</v>
      </c>
      <c r="AB58">
        <f t="shared" si="22"/>
        <v>5.1477861677456703E-3</v>
      </c>
      <c r="AC58">
        <f t="shared" si="23"/>
        <v>1.4811980160336861E-3</v>
      </c>
      <c r="AD58">
        <f t="shared" si="24"/>
        <v>5.4537091584544927E-4</v>
      </c>
      <c r="AE58">
        <f t="shared" si="25"/>
        <v>-8.4692796606510717E-4</v>
      </c>
      <c r="AF58">
        <f t="shared" si="26"/>
        <v>-3.0790335861495571E-4</v>
      </c>
      <c r="AG58">
        <f t="shared" si="27"/>
        <v>1.0269005157633473E-3</v>
      </c>
      <c r="AH58">
        <f t="shared" si="28"/>
        <v>3.218404487327055E-4</v>
      </c>
      <c r="AI58">
        <f t="shared" si="29"/>
        <v>-8.3825156186618873E-5</v>
      </c>
      <c r="AJ58">
        <f t="shared" si="30"/>
        <v>2.9328700507622518E-4</v>
      </c>
      <c r="AK58">
        <f t="shared" si="31"/>
        <v>4.9871211156490641E-4</v>
      </c>
    </row>
    <row r="59" spans="1:37" x14ac:dyDescent="0.35">
      <c r="A59">
        <v>4444</v>
      </c>
      <c r="B59">
        <v>18</v>
      </c>
      <c r="C59">
        <v>0</v>
      </c>
      <c r="D59">
        <v>0</v>
      </c>
      <c r="E59">
        <v>0</v>
      </c>
      <c r="F59">
        <v>9.9999940000000003E-8</v>
      </c>
      <c r="G59">
        <v>3.9999819999999997E-6</v>
      </c>
      <c r="H59">
        <v>3.8498490859000002E-5</v>
      </c>
      <c r="I59">
        <v>2.3144635073600001E-4</v>
      </c>
      <c r="J59">
        <v>9.3402603184199998E-4</v>
      </c>
      <c r="K59">
        <v>2.92074222528E-3</v>
      </c>
      <c r="L59">
        <v>7.1843021761400002E-3</v>
      </c>
      <c r="M59">
        <v>1.480422652505E-2</v>
      </c>
      <c r="N59">
        <v>2.6738000182972999E-2</v>
      </c>
      <c r="O59">
        <v>4.2784218180502001E-2</v>
      </c>
      <c r="P59">
        <v>6.2823881723302999E-2</v>
      </c>
      <c r="Q59">
        <v>8.5941786786769003E-2</v>
      </c>
      <c r="V59">
        <v>13</v>
      </c>
      <c r="W59">
        <f t="shared" si="17"/>
        <v>1</v>
      </c>
      <c r="X59">
        <f t="shared" si="18"/>
        <v>0.25111017660866225</v>
      </c>
      <c r="Y59">
        <f t="shared" si="19"/>
        <v>8.9439200737713182E-3</v>
      </c>
      <c r="Z59">
        <f t="shared" si="20"/>
        <v>2.7472767436377277E-3</v>
      </c>
      <c r="AA59">
        <f t="shared" si="21"/>
        <v>1.1470243887025637E-2</v>
      </c>
      <c r="AB59">
        <f t="shared" si="22"/>
        <v>1.7633842740936278E-3</v>
      </c>
      <c r="AC59">
        <f t="shared" si="23"/>
        <v>1.5012511173599045E-3</v>
      </c>
      <c r="AD59">
        <f t="shared" si="24"/>
        <v>5.3106631870251551E-4</v>
      </c>
      <c r="AE59">
        <f t="shared" si="25"/>
        <v>-8.2011110801133034E-4</v>
      </c>
      <c r="AF59">
        <f t="shared" si="26"/>
        <v>1.2152792008372866E-3</v>
      </c>
      <c r="AG59">
        <f t="shared" si="27"/>
        <v>5.0595806293246993E-4</v>
      </c>
      <c r="AH59">
        <f t="shared" si="28"/>
        <v>4.4660271103416903E-4</v>
      </c>
      <c r="AI59">
        <f t="shared" si="29"/>
        <v>1.347385379615597E-3</v>
      </c>
      <c r="AJ59">
        <f t="shared" si="30"/>
        <v>9.2806372625972892E-4</v>
      </c>
      <c r="AK59">
        <f t="shared" si="31"/>
        <v>-7.9552079180272012E-5</v>
      </c>
    </row>
    <row r="60" spans="1:37" x14ac:dyDescent="0.35">
      <c r="A60">
        <v>4444</v>
      </c>
      <c r="B60">
        <v>19</v>
      </c>
      <c r="C60">
        <v>0</v>
      </c>
      <c r="D60">
        <v>0</v>
      </c>
      <c r="E60">
        <v>0</v>
      </c>
      <c r="F60">
        <v>0</v>
      </c>
      <c r="G60">
        <v>1.29999753E-6</v>
      </c>
      <c r="H60">
        <v>1.3299812473E-5</v>
      </c>
      <c r="I60">
        <v>8.669237974E-5</v>
      </c>
      <c r="J60">
        <v>3.9254545485400001E-4</v>
      </c>
      <c r="K60">
        <v>1.3784960212949999E-3</v>
      </c>
      <c r="L60">
        <v>3.7472030222300001E-3</v>
      </c>
      <c r="M60">
        <v>8.5257749253320001E-3</v>
      </c>
      <c r="N60">
        <v>1.6478006064979001E-2</v>
      </c>
      <c r="O60">
        <v>2.8437866764082002E-2</v>
      </c>
      <c r="P60">
        <v>4.4313218227404E-2</v>
      </c>
      <c r="Q60">
        <v>6.3669457770752003E-2</v>
      </c>
      <c r="V60">
        <v>14</v>
      </c>
      <c r="W60">
        <f t="shared" si="17"/>
        <v>1</v>
      </c>
      <c r="X60">
        <f t="shared" si="18"/>
        <v>-0.31055737517744619</v>
      </c>
      <c r="Y60">
        <f t="shared" si="19"/>
        <v>0.25560848307017625</v>
      </c>
      <c r="Z60">
        <f t="shared" si="20"/>
        <v>-3.3667203208959287E-2</v>
      </c>
      <c r="AA60">
        <f t="shared" si="21"/>
        <v>-5.7179176835439128E-3</v>
      </c>
      <c r="AB60">
        <f t="shared" si="22"/>
        <v>-1.2988855866381131E-3</v>
      </c>
      <c r="AC60">
        <f t="shared" si="23"/>
        <v>4.5036722233731796E-3</v>
      </c>
      <c r="AD60">
        <f t="shared" si="24"/>
        <v>2.7880700067951926E-3</v>
      </c>
      <c r="AE60">
        <f t="shared" si="25"/>
        <v>-3.103844785820823E-3</v>
      </c>
      <c r="AF60">
        <f t="shared" si="26"/>
        <v>-4.2566961177986244E-4</v>
      </c>
      <c r="AG60">
        <f t="shared" si="27"/>
        <v>-2.005861822793309E-3</v>
      </c>
      <c r="AH60">
        <f t="shared" si="28"/>
        <v>1.4595732730812636E-3</v>
      </c>
      <c r="AI60">
        <f t="shared" si="29"/>
        <v>1.5025052399546233E-3</v>
      </c>
      <c r="AJ60">
        <f t="shared" si="30"/>
        <v>7.7648146556941991E-4</v>
      </c>
      <c r="AK60">
        <f t="shared" si="31"/>
        <v>1.7669287244931599E-4</v>
      </c>
    </row>
    <row r="61" spans="1:37" x14ac:dyDescent="0.35">
      <c r="A61">
        <v>4444</v>
      </c>
      <c r="B61">
        <v>20</v>
      </c>
      <c r="C61">
        <v>0</v>
      </c>
      <c r="D61">
        <v>0</v>
      </c>
      <c r="E61">
        <v>0</v>
      </c>
      <c r="F61">
        <v>0</v>
      </c>
      <c r="G61">
        <v>2.9999973000000001E-7</v>
      </c>
      <c r="H61">
        <v>5.1999708799999996E-6</v>
      </c>
      <c r="I61">
        <v>2.7999199222999999E-5</v>
      </c>
      <c r="J61">
        <v>1.5967438822799999E-4</v>
      </c>
      <c r="K61">
        <v>6.23310804734E-4</v>
      </c>
      <c r="L61">
        <v>1.8710903957450001E-3</v>
      </c>
      <c r="M61">
        <v>4.631246641256E-3</v>
      </c>
      <c r="N61">
        <v>9.7785262964440005E-3</v>
      </c>
      <c r="O61">
        <v>1.8274885592370001E-2</v>
      </c>
      <c r="P61">
        <v>3.0139820680845E-2</v>
      </c>
      <c r="Q61">
        <v>4.5729509298823003E-2</v>
      </c>
      <c r="V61">
        <v>15</v>
      </c>
      <c r="W61">
        <f t="shared" si="17"/>
        <v>1</v>
      </c>
      <c r="X61">
        <f t="shared" si="18"/>
        <v>1</v>
      </c>
      <c r="Y61">
        <f t="shared" si="19"/>
        <v>0.6339048128882423</v>
      </c>
      <c r="Z61">
        <f t="shared" si="20"/>
        <v>-2.8407983889268955E-2</v>
      </c>
      <c r="AA61">
        <f t="shared" si="21"/>
        <v>-7.5362236567865695E-3</v>
      </c>
      <c r="AB61">
        <f t="shared" si="22"/>
        <v>7.3577965613525207E-3</v>
      </c>
      <c r="AC61">
        <f t="shared" si="23"/>
        <v>-2.266646398293843E-3</v>
      </c>
      <c r="AD61">
        <f t="shared" si="24"/>
        <v>7.2559431978920872E-3</v>
      </c>
      <c r="AE61">
        <f t="shared" si="25"/>
        <v>1.511516864926072E-3</v>
      </c>
      <c r="AF61">
        <f t="shared" si="26"/>
        <v>1.416877484970932E-4</v>
      </c>
      <c r="AG61">
        <f t="shared" si="27"/>
        <v>5.2980720461507627E-4</v>
      </c>
      <c r="AH61">
        <f t="shared" si="28"/>
        <v>8.7328540095409101E-4</v>
      </c>
      <c r="AI61">
        <f t="shared" si="29"/>
        <v>-2.2966278642230751E-4</v>
      </c>
      <c r="AJ61">
        <f t="shared" si="30"/>
        <v>2.4086292388335366E-4</v>
      </c>
      <c r="AK61">
        <f t="shared" si="31"/>
        <v>3.588086235504708E-5</v>
      </c>
    </row>
    <row r="62" spans="1:37" x14ac:dyDescent="0.35">
      <c r="A62" t="s">
        <v>18</v>
      </c>
      <c r="B62">
        <v>1</v>
      </c>
      <c r="C62">
        <v>0.49990795816003503</v>
      </c>
      <c r="D62">
        <v>0.66666276416392001</v>
      </c>
      <c r="E62">
        <v>0.74994896935032296</v>
      </c>
      <c r="F62">
        <v>0.80003192000465995</v>
      </c>
      <c r="G62">
        <v>0.83331390411080497</v>
      </c>
      <c r="H62">
        <v>0.85712856772472301</v>
      </c>
      <c r="I62">
        <v>0.87500409242288901</v>
      </c>
      <c r="J62">
        <v>0.888853351422213</v>
      </c>
      <c r="K62">
        <v>0.90002747144247197</v>
      </c>
      <c r="L62">
        <v>0.90908143578049105</v>
      </c>
      <c r="M62">
        <v>0.91666369701667905</v>
      </c>
      <c r="N62">
        <v>0.92308487191993704</v>
      </c>
      <c r="O62">
        <v>0.92857522889893496</v>
      </c>
      <c r="P62">
        <v>0.93331757878756205</v>
      </c>
      <c r="Q62">
        <v>0.937476824436829</v>
      </c>
      <c r="V62">
        <v>16</v>
      </c>
      <c r="W62">
        <f t="shared" si="17"/>
        <v>1</v>
      </c>
      <c r="X62">
        <f t="shared" si="18"/>
        <v>1</v>
      </c>
      <c r="Y62">
        <f t="shared" si="19"/>
        <v>0.34916407104245378</v>
      </c>
      <c r="Z62">
        <f t="shared" si="20"/>
        <v>-1.0692192126118348E-2</v>
      </c>
      <c r="AA62">
        <f t="shared" si="21"/>
        <v>-5.9150600176234042E-3</v>
      </c>
      <c r="AB62">
        <f t="shared" si="22"/>
        <v>-3.1148401070372252E-3</v>
      </c>
      <c r="AC62">
        <f t="shared" si="23"/>
        <v>-8.0745807444641956E-4</v>
      </c>
      <c r="AD62">
        <f t="shared" si="24"/>
        <v>2.0739547754567442E-4</v>
      </c>
      <c r="AE62">
        <f t="shared" si="25"/>
        <v>3.3948871297449328E-3</v>
      </c>
      <c r="AF62">
        <f t="shared" si="26"/>
        <v>-3.0201954655677629E-4</v>
      </c>
      <c r="AG62">
        <f t="shared" si="27"/>
        <v>-9.6225977064829478E-4</v>
      </c>
      <c r="AH62">
        <f t="shared" si="28"/>
        <v>-6.4786460394415874E-4</v>
      </c>
      <c r="AI62">
        <f t="shared" si="29"/>
        <v>1.8931194134852558E-3</v>
      </c>
      <c r="AJ62">
        <f t="shared" si="30"/>
        <v>-9.6714517588415903E-5</v>
      </c>
      <c r="AK62">
        <f t="shared" si="31"/>
        <v>3.6463628777456291E-4</v>
      </c>
    </row>
    <row r="63" spans="1:37" x14ac:dyDescent="0.35">
      <c r="A63" t="s">
        <v>18</v>
      </c>
      <c r="B63">
        <v>2</v>
      </c>
      <c r="C63">
        <v>0.200104198095504</v>
      </c>
      <c r="D63">
        <v>0.40011416797898902</v>
      </c>
      <c r="E63">
        <v>0.52941277466856196</v>
      </c>
      <c r="F63">
        <v>0.61537985353042801</v>
      </c>
      <c r="G63">
        <v>0.67573134884491204</v>
      </c>
      <c r="H63">
        <v>0.72000951247399403</v>
      </c>
      <c r="I63">
        <v>0.75387376923577798</v>
      </c>
      <c r="J63">
        <v>0.78047963135531395</v>
      </c>
      <c r="K63">
        <v>0.80197703837436196</v>
      </c>
      <c r="L63">
        <v>0.819692116294092</v>
      </c>
      <c r="M63">
        <v>0.83449765828943401</v>
      </c>
      <c r="N63">
        <v>0.84706114181025205</v>
      </c>
      <c r="O63">
        <v>0.85788606362098596</v>
      </c>
      <c r="P63">
        <v>0.86725250147747202</v>
      </c>
      <c r="Q63">
        <v>0.87547006493074997</v>
      </c>
      <c r="V63">
        <v>17</v>
      </c>
      <c r="W63">
        <f t="shared" si="17"/>
        <v>1</v>
      </c>
      <c r="X63">
        <f t="shared" si="18"/>
        <v>1</v>
      </c>
      <c r="Y63">
        <f t="shared" si="19"/>
        <v>-0.84403500208809423</v>
      </c>
      <c r="Z63">
        <f t="shared" si="20"/>
        <v>0.32176948241898656</v>
      </c>
      <c r="AA63">
        <f t="shared" si="21"/>
        <v>-4.9377991996373993E-2</v>
      </c>
      <c r="AB63">
        <f t="shared" si="22"/>
        <v>2.3813126448112396E-3</v>
      </c>
      <c r="AC63">
        <f t="shared" si="23"/>
        <v>-1.6663141869298832E-3</v>
      </c>
      <c r="AD63">
        <f t="shared" si="24"/>
        <v>3.6296364777220953E-3</v>
      </c>
      <c r="AE63">
        <f t="shared" si="25"/>
        <v>3.3524623688684623E-3</v>
      </c>
      <c r="AF63">
        <f t="shared" si="26"/>
        <v>-1.5973686699445821E-3</v>
      </c>
      <c r="AG63">
        <f t="shared" si="27"/>
        <v>-2.4409434111307983E-3</v>
      </c>
      <c r="AH63">
        <f t="shared" si="28"/>
        <v>-1.3950683511336668E-3</v>
      </c>
      <c r="AI63">
        <f t="shared" si="29"/>
        <v>6.5484813778572107E-4</v>
      </c>
      <c r="AJ63">
        <f t="shared" si="30"/>
        <v>8.3963663683396322E-4</v>
      </c>
      <c r="AK63">
        <f t="shared" si="31"/>
        <v>2.4304056168824445E-3</v>
      </c>
    </row>
    <row r="64" spans="1:37" x14ac:dyDescent="0.35">
      <c r="A64" t="s">
        <v>18</v>
      </c>
      <c r="B64">
        <v>3</v>
      </c>
      <c r="C64">
        <v>6.2455041660680999E-2</v>
      </c>
      <c r="D64">
        <v>0.21053271014012301</v>
      </c>
      <c r="E64">
        <v>0.34613670528556301</v>
      </c>
      <c r="F64">
        <v>0.45053526237938502</v>
      </c>
      <c r="G64">
        <v>0.52960419662838298</v>
      </c>
      <c r="H64">
        <v>0.59020951995865401</v>
      </c>
      <c r="I64">
        <v>0.63748533099751703</v>
      </c>
      <c r="J64">
        <v>0.67533829012332403</v>
      </c>
      <c r="K64">
        <v>0.70640711873630901</v>
      </c>
      <c r="L64">
        <v>0.73204303905527002</v>
      </c>
      <c r="M64">
        <v>0.75363662231740902</v>
      </c>
      <c r="N64">
        <v>0.77212001953476395</v>
      </c>
      <c r="O64">
        <v>0.78802115568619202</v>
      </c>
      <c r="P64">
        <v>0.80182217178348403</v>
      </c>
      <c r="Q64">
        <v>0.81408663330033304</v>
      </c>
      <c r="V64">
        <v>18</v>
      </c>
      <c r="W64" t="e">
        <f t="shared" si="17"/>
        <v>#DIV/0!</v>
      </c>
      <c r="X64">
        <f t="shared" si="18"/>
        <v>1</v>
      </c>
      <c r="Y64">
        <f t="shared" si="19"/>
        <v>1</v>
      </c>
      <c r="Z64">
        <f t="shared" si="20"/>
        <v>0.6608845957662538</v>
      </c>
      <c r="AA64">
        <f t="shared" si="21"/>
        <v>-0.1208901774641024</v>
      </c>
      <c r="AB64">
        <f t="shared" si="22"/>
        <v>-2.4860922086281125E-2</v>
      </c>
      <c r="AC64">
        <f t="shared" si="23"/>
        <v>-2.1041051783995426E-2</v>
      </c>
      <c r="AD64">
        <f t="shared" si="24"/>
        <v>1.3245909338948295E-2</v>
      </c>
      <c r="AE64">
        <f t="shared" si="25"/>
        <v>3.1238210119697045E-3</v>
      </c>
      <c r="AF64">
        <f t="shared" si="26"/>
        <v>2.6400067222344453E-3</v>
      </c>
      <c r="AG64">
        <f t="shared" si="27"/>
        <v>-1.3381878198829365E-3</v>
      </c>
      <c r="AH64">
        <f t="shared" si="28"/>
        <v>-3.6657461957376016E-3</v>
      </c>
      <c r="AI64">
        <f t="shared" si="29"/>
        <v>3.3506138243225231E-5</v>
      </c>
      <c r="AJ64">
        <f t="shared" si="30"/>
        <v>-8.2642278705782543E-4</v>
      </c>
      <c r="AK64">
        <f t="shared" si="31"/>
        <v>1.2320446185173108E-3</v>
      </c>
    </row>
    <row r="65" spans="1:37" x14ac:dyDescent="0.35">
      <c r="A65" t="s">
        <v>18</v>
      </c>
      <c r="B65">
        <v>4</v>
      </c>
      <c r="C65">
        <v>1.5389752185101999E-2</v>
      </c>
      <c r="D65">
        <v>9.5215427557799007E-2</v>
      </c>
      <c r="E65">
        <v>0.20599999871126301</v>
      </c>
      <c r="F65">
        <v>0.31076091305627002</v>
      </c>
      <c r="G65">
        <v>0.39841024653410501</v>
      </c>
      <c r="H65">
        <v>0.46941935298929599</v>
      </c>
      <c r="I65">
        <v>0.52728958560450701</v>
      </c>
      <c r="J65">
        <v>0.57457968063519405</v>
      </c>
      <c r="K65">
        <v>0.61380343772183499</v>
      </c>
      <c r="L65">
        <v>0.64667669278443296</v>
      </c>
      <c r="M65">
        <v>0.67437739250637696</v>
      </c>
      <c r="N65">
        <v>0.69847431725167897</v>
      </c>
      <c r="O65">
        <v>0.71918072293227797</v>
      </c>
      <c r="P65">
        <v>0.73725477242892301</v>
      </c>
      <c r="Q65">
        <v>0.75325311186274102</v>
      </c>
      <c r="V65">
        <v>19</v>
      </c>
      <c r="W65" t="e">
        <f t="shared" si="17"/>
        <v>#DIV/0!</v>
      </c>
      <c r="X65">
        <f t="shared" si="18"/>
        <v>1</v>
      </c>
      <c r="Y65">
        <f t="shared" si="19"/>
        <v>1</v>
      </c>
      <c r="Z65">
        <f t="shared" si="20"/>
        <v>0.19460095977707564</v>
      </c>
      <c r="AA65">
        <f t="shared" si="21"/>
        <v>0.11656845661296507</v>
      </c>
      <c r="AB65">
        <f t="shared" si="22"/>
        <v>-0.12479132367547285</v>
      </c>
      <c r="AC65">
        <f t="shared" si="23"/>
        <v>-3.2447226207596297E-2</v>
      </c>
      <c r="AD65">
        <f t="shared" si="24"/>
        <v>1.8125996870133818E-3</v>
      </c>
      <c r="AE65">
        <f t="shared" si="25"/>
        <v>-4.5192302302352683E-3</v>
      </c>
      <c r="AF65">
        <f t="shared" si="26"/>
        <v>-3.1938090212002977E-3</v>
      </c>
      <c r="AG65">
        <f t="shared" si="27"/>
        <v>-2.3900267234765551E-3</v>
      </c>
      <c r="AH65">
        <f t="shared" si="28"/>
        <v>1.0868660317397175E-3</v>
      </c>
      <c r="AI65">
        <f t="shared" si="29"/>
        <v>-1.1723871120747783E-3</v>
      </c>
      <c r="AJ65">
        <f t="shared" si="30"/>
        <v>-1.0752316646032852E-3</v>
      </c>
      <c r="AK65">
        <f t="shared" si="31"/>
        <v>-7.5856583780979506E-4</v>
      </c>
    </row>
    <row r="66" spans="1:37" x14ac:dyDescent="0.35">
      <c r="A66" t="s">
        <v>18</v>
      </c>
      <c r="B66">
        <v>5</v>
      </c>
      <c r="C66">
        <v>3.0634527959930002E-3</v>
      </c>
      <c r="D66">
        <v>3.674848604343E-2</v>
      </c>
      <c r="E66">
        <v>0.109992527493918</v>
      </c>
      <c r="F66">
        <v>0.198830876820557</v>
      </c>
      <c r="G66">
        <v>0.28475375936341002</v>
      </c>
      <c r="H66">
        <v>0.36035713336639902</v>
      </c>
      <c r="I66">
        <v>0.42462260982611</v>
      </c>
      <c r="J66">
        <v>0.47892116858640499</v>
      </c>
      <c r="K66">
        <v>0.52491791007335498</v>
      </c>
      <c r="L66">
        <v>0.56385912428548701</v>
      </c>
      <c r="M66">
        <v>0.59746824747943605</v>
      </c>
      <c r="N66">
        <v>0.62631460139467898</v>
      </c>
      <c r="O66">
        <v>0.65153187594180295</v>
      </c>
      <c r="P66">
        <v>0.67363268252220798</v>
      </c>
      <c r="Q66">
        <v>0.69318213991590705</v>
      </c>
      <c r="V66">
        <v>20</v>
      </c>
      <c r="W66" t="e">
        <f t="shared" si="17"/>
        <v>#DIV/0!</v>
      </c>
      <c r="X66">
        <f t="shared" si="18"/>
        <v>1</v>
      </c>
      <c r="Y66">
        <f t="shared" si="19"/>
        <v>1</v>
      </c>
      <c r="Z66">
        <f t="shared" si="20"/>
        <v>1</v>
      </c>
      <c r="AA66">
        <f t="shared" si="21"/>
        <v>0.24277222169214124</v>
      </c>
      <c r="AB66">
        <f t="shared" si="22"/>
        <v>-0.27066365696682454</v>
      </c>
      <c r="AC66">
        <f t="shared" si="23"/>
        <v>-2.312019521677711E-2</v>
      </c>
      <c r="AD66">
        <f t="shared" si="24"/>
        <v>-3.5137113061127004E-2</v>
      </c>
      <c r="AE66">
        <f t="shared" si="25"/>
        <v>-3.0992803234364867E-2</v>
      </c>
      <c r="AF66">
        <f t="shared" si="26"/>
        <v>1.6799687616921182E-3</v>
      </c>
      <c r="AG66">
        <f t="shared" si="27"/>
        <v>3.4082262853939871E-5</v>
      </c>
      <c r="AH66">
        <f t="shared" si="28"/>
        <v>1.8674971321964173E-3</v>
      </c>
      <c r="AI66">
        <f t="shared" si="29"/>
        <v>-4.111362739777925E-3</v>
      </c>
      <c r="AJ66">
        <f t="shared" si="30"/>
        <v>7.8618028959797563E-4</v>
      </c>
      <c r="AK66">
        <f t="shared" si="31"/>
        <v>-1.8015558084118516E-3</v>
      </c>
    </row>
    <row r="67" spans="1:37" x14ac:dyDescent="0.35">
      <c r="A67" t="s">
        <v>18</v>
      </c>
      <c r="B67">
        <v>6</v>
      </c>
      <c r="C67">
        <v>5.0810830139300003E-4</v>
      </c>
      <c r="D67">
        <v>1.2048721004237E-2</v>
      </c>
      <c r="E67">
        <v>5.2099605454717E-2</v>
      </c>
      <c r="F67">
        <v>0.11713271569299701</v>
      </c>
      <c r="G67">
        <v>0.19185809087708799</v>
      </c>
      <c r="H67">
        <v>0.26497812523984099</v>
      </c>
      <c r="I67">
        <v>0.331243108529921</v>
      </c>
      <c r="J67">
        <v>0.38969103645087999</v>
      </c>
      <c r="K67">
        <v>0.44067018770380101</v>
      </c>
      <c r="L67">
        <v>0.48445604605756998</v>
      </c>
      <c r="M67">
        <v>0.52282150941912897</v>
      </c>
      <c r="N67">
        <v>0.55601729698275204</v>
      </c>
      <c r="O67">
        <v>0.58539240570636897</v>
      </c>
      <c r="P67">
        <v>0.61118087402628496</v>
      </c>
      <c r="Q67">
        <v>0.63410560912855496</v>
      </c>
    </row>
    <row r="68" spans="1:37" x14ac:dyDescent="0.35">
      <c r="A68" t="s">
        <v>18</v>
      </c>
      <c r="B68">
        <v>7</v>
      </c>
      <c r="C68">
        <v>7.3427921033000003E-5</v>
      </c>
      <c r="D68">
        <v>3.428371290687E-3</v>
      </c>
      <c r="E68">
        <v>2.1824999231367E-2</v>
      </c>
      <c r="F68">
        <v>6.2761218814132005E-2</v>
      </c>
      <c r="G68">
        <v>0.120506938602779</v>
      </c>
      <c r="H68">
        <v>0.18503123779483899</v>
      </c>
      <c r="I68">
        <v>0.24880728986372699</v>
      </c>
      <c r="J68">
        <v>0.30820081167916702</v>
      </c>
      <c r="K68">
        <v>0.36165259503972702</v>
      </c>
      <c r="L68">
        <v>0.40917016434500197</v>
      </c>
      <c r="M68">
        <v>0.45090303450946201</v>
      </c>
      <c r="N68">
        <v>0.48793304560726902</v>
      </c>
      <c r="O68">
        <v>0.52090210726769504</v>
      </c>
      <c r="P68">
        <v>0.54995749301030605</v>
      </c>
      <c r="Q68">
        <v>0.576104733867979</v>
      </c>
    </row>
    <row r="69" spans="1:37" x14ac:dyDescent="0.35">
      <c r="A69" t="s">
        <v>18</v>
      </c>
      <c r="B69">
        <v>8</v>
      </c>
      <c r="C69">
        <v>8.3332635010000008E-6</v>
      </c>
      <c r="D69">
        <v>8.4907798181899996E-4</v>
      </c>
      <c r="E69">
        <v>8.1147425090900005E-3</v>
      </c>
      <c r="F69">
        <v>3.0379646608669E-2</v>
      </c>
      <c r="G69">
        <v>6.9954048626092002E-2</v>
      </c>
      <c r="H69">
        <v>0.12184287914238701</v>
      </c>
      <c r="I69">
        <v>0.178851254538403</v>
      </c>
      <c r="J69">
        <v>0.23553381586514499</v>
      </c>
      <c r="K69">
        <v>0.289196683017925</v>
      </c>
      <c r="L69">
        <v>0.338143704054431</v>
      </c>
      <c r="M69">
        <v>0.38260884263105399</v>
      </c>
      <c r="N69">
        <v>0.42252861113370499</v>
      </c>
      <c r="O69">
        <v>0.458328384556348</v>
      </c>
      <c r="P69">
        <v>0.49035814692327601</v>
      </c>
      <c r="Q69">
        <v>0.51927064168478598</v>
      </c>
    </row>
    <row r="70" spans="1:37" x14ac:dyDescent="0.35">
      <c r="A70" t="s">
        <v>18</v>
      </c>
      <c r="B70">
        <v>9</v>
      </c>
      <c r="C70">
        <v>7.6666593299999999E-7</v>
      </c>
      <c r="D70">
        <v>1.90397048879E-4</v>
      </c>
      <c r="E70">
        <v>2.703371119906E-3</v>
      </c>
      <c r="F70">
        <v>1.3307836544904E-2</v>
      </c>
      <c r="G70">
        <v>3.7392999599593003E-2</v>
      </c>
      <c r="H70">
        <v>7.5059900850620004E-2</v>
      </c>
      <c r="I70">
        <v>0.122157780279415</v>
      </c>
      <c r="J70">
        <v>0.17312856739122701</v>
      </c>
      <c r="K70">
        <v>0.22422950718047799</v>
      </c>
      <c r="L70">
        <v>0.27321482593417801</v>
      </c>
      <c r="M70">
        <v>0.31859658544618802</v>
      </c>
      <c r="N70">
        <v>0.36033159128297099</v>
      </c>
      <c r="O70">
        <v>0.39845970440558998</v>
      </c>
      <c r="P70">
        <v>0.43268707387518401</v>
      </c>
      <c r="Q70">
        <v>0.463877440810885</v>
      </c>
    </row>
    <row r="71" spans="1:37" x14ac:dyDescent="0.35">
      <c r="A71" t="s">
        <v>18</v>
      </c>
      <c r="B71">
        <v>10</v>
      </c>
      <c r="C71">
        <v>2.3333321999999999E-7</v>
      </c>
      <c r="D71">
        <v>3.7031951192E-5</v>
      </c>
      <c r="E71">
        <v>7.9959304847100003E-4</v>
      </c>
      <c r="F71">
        <v>5.3144368041050001E-3</v>
      </c>
      <c r="G71">
        <v>1.8364424657643E-2</v>
      </c>
      <c r="H71">
        <v>4.3157556855355002E-2</v>
      </c>
      <c r="I71">
        <v>7.8832885721541998E-2</v>
      </c>
      <c r="J71">
        <v>0.12175379085237401</v>
      </c>
      <c r="K71">
        <v>0.16777082091817699</v>
      </c>
      <c r="L71">
        <v>0.21444024439578799</v>
      </c>
      <c r="M71">
        <v>0.25944678222871398</v>
      </c>
      <c r="N71">
        <v>0.301964633055535</v>
      </c>
      <c r="O71">
        <v>0.341071860798355</v>
      </c>
      <c r="P71">
        <v>0.37708488173847299</v>
      </c>
      <c r="Q71">
        <v>0.41017993689642102</v>
      </c>
    </row>
    <row r="72" spans="1:37" x14ac:dyDescent="0.35">
      <c r="A72" t="s">
        <v>18</v>
      </c>
      <c r="B72">
        <v>11</v>
      </c>
      <c r="C72">
        <v>0</v>
      </c>
      <c r="D72">
        <v>5.5666341800000001E-6</v>
      </c>
      <c r="E72">
        <v>2.3048001652100001E-4</v>
      </c>
      <c r="F72">
        <v>1.912965356546E-3</v>
      </c>
      <c r="G72">
        <v>8.2639666840589997E-3</v>
      </c>
      <c r="H72">
        <v>2.3027003135805E-2</v>
      </c>
      <c r="I72">
        <v>4.7790590185819999E-2</v>
      </c>
      <c r="J72">
        <v>8.1387271271416997E-2</v>
      </c>
      <c r="K72">
        <v>0.120738837941715</v>
      </c>
      <c r="L72">
        <v>0.163239623411645</v>
      </c>
      <c r="M72">
        <v>0.205963843230767</v>
      </c>
      <c r="N72">
        <v>0.24780592893803499</v>
      </c>
      <c r="O72">
        <v>0.28711338206947801</v>
      </c>
      <c r="P72">
        <v>0.32438276211482803</v>
      </c>
      <c r="Q72">
        <v>0.35874213210245598</v>
      </c>
    </row>
    <row r="73" spans="1:37" x14ac:dyDescent="0.35">
      <c r="A73" t="s">
        <v>18</v>
      </c>
      <c r="B73">
        <v>12</v>
      </c>
      <c r="C73">
        <v>0</v>
      </c>
      <c r="D73">
        <v>1.133331853E-6</v>
      </c>
      <c r="E73">
        <v>5.5730212991999997E-5</v>
      </c>
      <c r="F73">
        <v>6.3609476971299996E-4</v>
      </c>
      <c r="G73">
        <v>3.4101947523469999E-3</v>
      </c>
      <c r="H73">
        <v>1.1306299055666999E-2</v>
      </c>
      <c r="I73">
        <v>2.7040919069233001E-2</v>
      </c>
      <c r="J73">
        <v>5.1378352163611002E-2</v>
      </c>
      <c r="K73">
        <v>8.3156979840683001E-2</v>
      </c>
      <c r="L73">
        <v>0.119776056543105</v>
      </c>
      <c r="M73">
        <v>0.15873100980087501</v>
      </c>
      <c r="N73">
        <v>0.19850348188792599</v>
      </c>
      <c r="O73">
        <v>0.23741719483356</v>
      </c>
      <c r="P73">
        <v>0.27447989776356102</v>
      </c>
      <c r="Q73">
        <v>0.30947121430310998</v>
      </c>
    </row>
    <row r="74" spans="1:37" x14ac:dyDescent="0.35">
      <c r="A74" t="s">
        <v>18</v>
      </c>
      <c r="B74">
        <v>13</v>
      </c>
      <c r="C74">
        <v>0</v>
      </c>
      <c r="D74">
        <v>1.33333293E-7</v>
      </c>
      <c r="E74">
        <v>1.2633167572E-5</v>
      </c>
      <c r="F74">
        <v>1.9686115303100001E-4</v>
      </c>
      <c r="G74">
        <v>1.306623052847E-3</v>
      </c>
      <c r="H74">
        <v>5.2087227733549997E-3</v>
      </c>
      <c r="I74">
        <v>1.4350935774894999E-2</v>
      </c>
      <c r="J74">
        <v>3.0648348686735001E-2</v>
      </c>
      <c r="K74">
        <v>5.4437355886859003E-2</v>
      </c>
      <c r="L74">
        <v>8.4236367406738996E-2</v>
      </c>
      <c r="M74">
        <v>0.11845477765875501</v>
      </c>
      <c r="N74">
        <v>0.154831575275681</v>
      </c>
      <c r="O74">
        <v>0.191593621780074</v>
      </c>
      <c r="P74">
        <v>0.22799297757209699</v>
      </c>
      <c r="Q74">
        <v>0.26324261497528401</v>
      </c>
    </row>
    <row r="75" spans="1:37" x14ac:dyDescent="0.35">
      <c r="A75" t="s">
        <v>18</v>
      </c>
      <c r="B75">
        <v>14</v>
      </c>
      <c r="C75">
        <v>0</v>
      </c>
      <c r="D75">
        <v>3.3333327E-8</v>
      </c>
      <c r="E75">
        <v>2.033328157E-6</v>
      </c>
      <c r="F75">
        <v>5.8296568561999997E-5</v>
      </c>
      <c r="G75">
        <v>4.7454101896199998E-4</v>
      </c>
      <c r="H75">
        <v>2.234161619659E-3</v>
      </c>
      <c r="I75">
        <v>7.102848828097E-3</v>
      </c>
      <c r="J75">
        <v>1.7172879113677E-2</v>
      </c>
      <c r="K75">
        <v>3.3890264875851998E-2</v>
      </c>
      <c r="L75">
        <v>5.6843329569228003E-2</v>
      </c>
      <c r="M75">
        <v>8.5357158681236001E-2</v>
      </c>
      <c r="N75">
        <v>0.117038800222418</v>
      </c>
      <c r="O75">
        <v>0.15098329640399399</v>
      </c>
      <c r="P75">
        <v>0.185659244820811</v>
      </c>
      <c r="Q75">
        <v>0.219944059308086</v>
      </c>
    </row>
    <row r="76" spans="1:37" x14ac:dyDescent="0.35">
      <c r="A76" t="s">
        <v>18</v>
      </c>
      <c r="B76">
        <v>15</v>
      </c>
      <c r="C76">
        <v>0</v>
      </c>
      <c r="D76">
        <v>0</v>
      </c>
      <c r="E76">
        <v>1.9999992699999999E-7</v>
      </c>
      <c r="F76">
        <v>1.5466423421000001E-5</v>
      </c>
      <c r="G76">
        <v>1.5844140484600001E-4</v>
      </c>
      <c r="H76">
        <v>8.8514851261099997E-4</v>
      </c>
      <c r="I76">
        <v>3.326130755769E-3</v>
      </c>
      <c r="J76">
        <v>9.0348533947660001E-3</v>
      </c>
      <c r="K76">
        <v>1.9838449840375E-2</v>
      </c>
      <c r="L76">
        <v>3.6491774302339998E-2</v>
      </c>
      <c r="M76">
        <v>5.8765753302516002E-2</v>
      </c>
      <c r="N76">
        <v>8.5654383393282005E-2</v>
      </c>
      <c r="O76">
        <v>0.11589168867399401</v>
      </c>
      <c r="P76">
        <v>0.14775216622315601</v>
      </c>
      <c r="Q76">
        <v>0.18030992923532499</v>
      </c>
    </row>
    <row r="77" spans="1:37" x14ac:dyDescent="0.35">
      <c r="A77" t="s">
        <v>18</v>
      </c>
      <c r="B77">
        <v>16</v>
      </c>
      <c r="C77">
        <v>0</v>
      </c>
      <c r="D77">
        <v>0</v>
      </c>
      <c r="E77">
        <v>6.6666640000000002E-8</v>
      </c>
      <c r="F77">
        <v>3.799983777E-6</v>
      </c>
      <c r="G77">
        <v>4.9430841676E-5</v>
      </c>
      <c r="H77">
        <v>3.3532052026099998E-4</v>
      </c>
      <c r="I77">
        <v>1.4509569910379999E-3</v>
      </c>
      <c r="J77">
        <v>4.5288922496709997E-3</v>
      </c>
      <c r="K77">
        <v>1.1014975851005001E-2</v>
      </c>
      <c r="L77">
        <v>2.2308607641644999E-2</v>
      </c>
      <c r="M77">
        <v>3.8889734286957002E-2</v>
      </c>
      <c r="N77">
        <v>6.0451731642854001E-2</v>
      </c>
      <c r="O77">
        <v>8.5877607251912999E-2</v>
      </c>
      <c r="P77">
        <v>0.11451798661921</v>
      </c>
      <c r="Q77">
        <v>0.14454939620510801</v>
      </c>
    </row>
    <row r="78" spans="1:37" x14ac:dyDescent="0.35">
      <c r="A78" t="s">
        <v>18</v>
      </c>
      <c r="B78">
        <v>17</v>
      </c>
      <c r="C78">
        <v>0</v>
      </c>
      <c r="D78">
        <v>0</v>
      </c>
      <c r="E78">
        <v>3.3333317000000003E-8</v>
      </c>
      <c r="F78">
        <v>5.9999943999999995E-7</v>
      </c>
      <c r="G78">
        <v>1.5166433077000001E-5</v>
      </c>
      <c r="H78">
        <v>1.1768609300399999E-4</v>
      </c>
      <c r="I78">
        <v>5.9760883567200004E-4</v>
      </c>
      <c r="J78">
        <v>2.119430311154E-3</v>
      </c>
      <c r="K78">
        <v>5.797781356605E-3</v>
      </c>
      <c r="L78">
        <v>1.2969559352322E-2</v>
      </c>
      <c r="M78">
        <v>2.4583106198559999E-2</v>
      </c>
      <c r="N78">
        <v>4.0957092711452002E-2</v>
      </c>
      <c r="O78">
        <v>6.1693424112516E-2</v>
      </c>
      <c r="P78">
        <v>8.6101296518873993E-2</v>
      </c>
      <c r="Q78">
        <v>0.11287790851655501</v>
      </c>
    </row>
    <row r="79" spans="1:37" x14ac:dyDescent="0.35">
      <c r="A79" t="s">
        <v>18</v>
      </c>
      <c r="B79">
        <v>18</v>
      </c>
      <c r="C79">
        <v>0</v>
      </c>
      <c r="D79">
        <v>0</v>
      </c>
      <c r="E79">
        <v>0</v>
      </c>
      <c r="F79">
        <v>6.6666619999999995E-8</v>
      </c>
      <c r="G79">
        <v>4.4999772730000002E-6</v>
      </c>
      <c r="H79">
        <v>4.0298341362E-5</v>
      </c>
      <c r="I79">
        <v>2.3684374942700001E-4</v>
      </c>
      <c r="J79">
        <v>9.31996688008E-4</v>
      </c>
      <c r="K79">
        <v>2.8911464048529999E-3</v>
      </c>
      <c r="L79">
        <v>7.1235820731499998E-3</v>
      </c>
      <c r="M79">
        <v>1.4784909982273E-2</v>
      </c>
      <c r="N79">
        <v>2.6640250890884998E-2</v>
      </c>
      <c r="O79">
        <v>4.2681103879802E-2</v>
      </c>
      <c r="P79">
        <v>6.2865824991710006E-2</v>
      </c>
      <c r="Q79">
        <v>8.6062716063764005E-2</v>
      </c>
    </row>
    <row r="80" spans="1:37" x14ac:dyDescent="0.35">
      <c r="A80" t="s">
        <v>18</v>
      </c>
      <c r="B80">
        <v>19</v>
      </c>
      <c r="C80">
        <v>0</v>
      </c>
      <c r="D80">
        <v>0</v>
      </c>
      <c r="E80">
        <v>0</v>
      </c>
      <c r="F80">
        <v>3.3333307E-8</v>
      </c>
      <c r="G80">
        <v>9.3333188699999997E-7</v>
      </c>
      <c r="H80">
        <v>1.3966463543E-5</v>
      </c>
      <c r="I80">
        <v>8.8225456003999998E-5</v>
      </c>
      <c r="J80">
        <v>3.9680873534400001E-4</v>
      </c>
      <c r="K80">
        <v>1.37809708262E-3</v>
      </c>
      <c r="L80">
        <v>3.7570606148549998E-3</v>
      </c>
      <c r="M80">
        <v>8.4960497839110007E-3</v>
      </c>
      <c r="N80">
        <v>1.6469652228468998E-2</v>
      </c>
      <c r="O80">
        <v>2.8408441702398E-2</v>
      </c>
      <c r="P80">
        <v>4.4284061967813003E-2</v>
      </c>
      <c r="Q80">
        <v>6.3743331517062005E-2</v>
      </c>
    </row>
    <row r="81" spans="1:17" x14ac:dyDescent="0.35">
      <c r="A81" t="s">
        <v>18</v>
      </c>
      <c r="B81">
        <v>20</v>
      </c>
      <c r="C81">
        <v>0</v>
      </c>
      <c r="D81">
        <v>0</v>
      </c>
      <c r="E81">
        <v>0</v>
      </c>
      <c r="F81">
        <v>0</v>
      </c>
      <c r="G81">
        <v>1.9999983299999999E-7</v>
      </c>
      <c r="H81">
        <v>4.7333077230000002E-6</v>
      </c>
      <c r="I81">
        <v>3.0599037270000003E-5</v>
      </c>
      <c r="J81">
        <v>1.64572762471E-4</v>
      </c>
      <c r="K81">
        <v>6.3609455070999998E-4</v>
      </c>
      <c r="L81">
        <v>1.8659099069879999E-3</v>
      </c>
      <c r="M81">
        <v>4.63989720361E-3</v>
      </c>
      <c r="N81">
        <v>9.7773460915389996E-3</v>
      </c>
      <c r="O81">
        <v>1.8184304340822001E-2</v>
      </c>
      <c r="P81">
        <v>3.0011869735748001E-2</v>
      </c>
      <c r="Q81">
        <v>4.5675354312181997E-2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Output_f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Caleb Gannon</cp:lastModifiedBy>
  <dcterms:created xsi:type="dcterms:W3CDTF">2022-10-26T22:12:03Z</dcterms:created>
  <dcterms:modified xsi:type="dcterms:W3CDTF">2022-10-27T03:36:29Z</dcterms:modified>
</cp:coreProperties>
</file>